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ent Project\Data Manipulation\"/>
    </mc:Choice>
  </mc:AlternateContent>
  <xr:revisionPtr revIDLastSave="0" documentId="13_ncr:1_{4EC9006F-C4B9-4FED-9227-FE2D6486D5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kistani_University_Students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1" l="1"/>
  <c r="M13" i="1"/>
  <c r="L6" i="1"/>
  <c r="L25" i="1"/>
  <c r="L27" i="1"/>
  <c r="L71" i="1"/>
  <c r="L102" i="1"/>
  <c r="L111" i="1"/>
  <c r="L194" i="1"/>
  <c r="L201" i="1"/>
  <c r="L2" i="1"/>
  <c r="I11" i="1"/>
  <c r="L11" i="1" s="1"/>
  <c r="M2" i="1"/>
  <c r="G71" i="1"/>
  <c r="G102" i="1"/>
  <c r="G111" i="1"/>
  <c r="G194" i="1"/>
  <c r="G201" i="1"/>
  <c r="G6" i="1"/>
  <c r="G25" i="1"/>
  <c r="G27" i="1"/>
  <c r="I30" i="1"/>
  <c r="G30" i="1" s="1"/>
  <c r="I28" i="1"/>
  <c r="G28" i="1" s="1"/>
  <c r="L30" i="1" l="1"/>
  <c r="L28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I16" i="1"/>
  <c r="L16" i="1" s="1"/>
  <c r="I17" i="1"/>
  <c r="L17" i="1" s="1"/>
  <c r="I18" i="1"/>
  <c r="L18" i="1" s="1"/>
  <c r="I19" i="1"/>
  <c r="L19" i="1" s="1"/>
  <c r="I20" i="1"/>
  <c r="L20" i="1" s="1"/>
  <c r="I21" i="1"/>
  <c r="L21" i="1" s="1"/>
  <c r="I22" i="1"/>
  <c r="L22" i="1" s="1"/>
  <c r="I23" i="1"/>
  <c r="L23" i="1" s="1"/>
  <c r="I24" i="1"/>
  <c r="L24" i="1" s="1"/>
  <c r="J25" i="1"/>
  <c r="I26" i="1"/>
  <c r="L26" i="1" s="1"/>
  <c r="J27" i="1"/>
  <c r="J28" i="1"/>
  <c r="I29" i="1"/>
  <c r="L29" i="1" s="1"/>
  <c r="J30" i="1"/>
  <c r="I31" i="1"/>
  <c r="L31" i="1" s="1"/>
  <c r="I32" i="1"/>
  <c r="L32" i="1" s="1"/>
  <c r="I33" i="1"/>
  <c r="L33" i="1" s="1"/>
  <c r="I34" i="1"/>
  <c r="L34" i="1" s="1"/>
  <c r="I35" i="1"/>
  <c r="L35" i="1" s="1"/>
  <c r="I36" i="1"/>
  <c r="L36" i="1" s="1"/>
  <c r="I37" i="1"/>
  <c r="L37" i="1" s="1"/>
  <c r="I38" i="1"/>
  <c r="L38" i="1" s="1"/>
  <c r="I39" i="1"/>
  <c r="L39" i="1" s="1"/>
  <c r="I40" i="1"/>
  <c r="L40" i="1" s="1"/>
  <c r="I41" i="1"/>
  <c r="L41" i="1" s="1"/>
  <c r="I42" i="1"/>
  <c r="L42" i="1" s="1"/>
  <c r="I43" i="1"/>
  <c r="L43" i="1" s="1"/>
  <c r="I44" i="1"/>
  <c r="L44" i="1" s="1"/>
  <c r="I45" i="1"/>
  <c r="L45" i="1" s="1"/>
  <c r="I46" i="1"/>
  <c r="L46" i="1" s="1"/>
  <c r="I47" i="1"/>
  <c r="L47" i="1" s="1"/>
  <c r="I48" i="1"/>
  <c r="L48" i="1" s="1"/>
  <c r="I49" i="1"/>
  <c r="L49" i="1" s="1"/>
  <c r="I50" i="1"/>
  <c r="L50" i="1" s="1"/>
  <c r="I51" i="1"/>
  <c r="L51" i="1" s="1"/>
  <c r="I52" i="1"/>
  <c r="L52" i="1" s="1"/>
  <c r="I53" i="1"/>
  <c r="L53" i="1" s="1"/>
  <c r="I54" i="1"/>
  <c r="L54" i="1" s="1"/>
  <c r="I55" i="1"/>
  <c r="L55" i="1" s="1"/>
  <c r="I56" i="1"/>
  <c r="L56" i="1" s="1"/>
  <c r="I57" i="1"/>
  <c r="L57" i="1" s="1"/>
  <c r="I58" i="1"/>
  <c r="L58" i="1" s="1"/>
  <c r="I59" i="1"/>
  <c r="L59" i="1" s="1"/>
  <c r="I60" i="1"/>
  <c r="L60" i="1" s="1"/>
  <c r="I61" i="1"/>
  <c r="L61" i="1" s="1"/>
  <c r="I62" i="1"/>
  <c r="L62" i="1" s="1"/>
  <c r="I63" i="1"/>
  <c r="L63" i="1" s="1"/>
  <c r="I64" i="1"/>
  <c r="L64" i="1" s="1"/>
  <c r="I65" i="1"/>
  <c r="L65" i="1" s="1"/>
  <c r="I66" i="1"/>
  <c r="L66" i="1" s="1"/>
  <c r="I67" i="1"/>
  <c r="L67" i="1" s="1"/>
  <c r="I68" i="1"/>
  <c r="L68" i="1" s="1"/>
  <c r="I69" i="1"/>
  <c r="L69" i="1" s="1"/>
  <c r="I70" i="1"/>
  <c r="L70" i="1" s="1"/>
  <c r="J71" i="1"/>
  <c r="I72" i="1"/>
  <c r="L72" i="1" s="1"/>
  <c r="I73" i="1"/>
  <c r="L73" i="1" s="1"/>
  <c r="I74" i="1"/>
  <c r="L74" i="1" s="1"/>
  <c r="I75" i="1"/>
  <c r="L75" i="1" s="1"/>
  <c r="I76" i="1"/>
  <c r="L76" i="1" s="1"/>
  <c r="I77" i="1"/>
  <c r="L77" i="1" s="1"/>
  <c r="I78" i="1"/>
  <c r="L78" i="1" s="1"/>
  <c r="I79" i="1"/>
  <c r="L79" i="1" s="1"/>
  <c r="I80" i="1"/>
  <c r="L80" i="1" s="1"/>
  <c r="I81" i="1"/>
  <c r="L81" i="1" s="1"/>
  <c r="I82" i="1"/>
  <c r="L82" i="1" s="1"/>
  <c r="I83" i="1"/>
  <c r="L83" i="1" s="1"/>
  <c r="I84" i="1"/>
  <c r="L84" i="1" s="1"/>
  <c r="I85" i="1"/>
  <c r="L85" i="1" s="1"/>
  <c r="I86" i="1"/>
  <c r="L86" i="1" s="1"/>
  <c r="I87" i="1"/>
  <c r="L87" i="1" s="1"/>
  <c r="I88" i="1"/>
  <c r="L88" i="1" s="1"/>
  <c r="I89" i="1"/>
  <c r="L89" i="1" s="1"/>
  <c r="I90" i="1"/>
  <c r="L90" i="1" s="1"/>
  <c r="I91" i="1"/>
  <c r="L91" i="1" s="1"/>
  <c r="I92" i="1"/>
  <c r="L92" i="1" s="1"/>
  <c r="I93" i="1"/>
  <c r="L93" i="1" s="1"/>
  <c r="I94" i="1"/>
  <c r="L94" i="1" s="1"/>
  <c r="I95" i="1"/>
  <c r="L95" i="1" s="1"/>
  <c r="I96" i="1"/>
  <c r="L96" i="1" s="1"/>
  <c r="I97" i="1"/>
  <c r="L97" i="1" s="1"/>
  <c r="I98" i="1"/>
  <c r="L98" i="1" s="1"/>
  <c r="I99" i="1"/>
  <c r="L99" i="1" s="1"/>
  <c r="I100" i="1"/>
  <c r="L100" i="1" s="1"/>
  <c r="I101" i="1"/>
  <c r="L101" i="1" s="1"/>
  <c r="J102" i="1"/>
  <c r="I103" i="1"/>
  <c r="L103" i="1" s="1"/>
  <c r="I104" i="1"/>
  <c r="L104" i="1" s="1"/>
  <c r="I105" i="1"/>
  <c r="L105" i="1" s="1"/>
  <c r="I106" i="1"/>
  <c r="L106" i="1" s="1"/>
  <c r="I107" i="1"/>
  <c r="L107" i="1" s="1"/>
  <c r="I108" i="1"/>
  <c r="L108" i="1" s="1"/>
  <c r="I109" i="1"/>
  <c r="L109" i="1" s="1"/>
  <c r="I110" i="1"/>
  <c r="L110" i="1" s="1"/>
  <c r="J111" i="1"/>
  <c r="I112" i="1"/>
  <c r="L112" i="1" s="1"/>
  <c r="I113" i="1"/>
  <c r="L113" i="1" s="1"/>
  <c r="I114" i="1"/>
  <c r="L114" i="1" s="1"/>
  <c r="I115" i="1"/>
  <c r="L115" i="1" s="1"/>
  <c r="I116" i="1"/>
  <c r="L116" i="1" s="1"/>
  <c r="I117" i="1"/>
  <c r="L117" i="1" s="1"/>
  <c r="I118" i="1"/>
  <c r="L118" i="1" s="1"/>
  <c r="I119" i="1"/>
  <c r="L119" i="1" s="1"/>
  <c r="I120" i="1"/>
  <c r="L120" i="1" s="1"/>
  <c r="I121" i="1"/>
  <c r="L121" i="1" s="1"/>
  <c r="I122" i="1"/>
  <c r="L122" i="1" s="1"/>
  <c r="I123" i="1"/>
  <c r="L123" i="1" s="1"/>
  <c r="I124" i="1"/>
  <c r="L124" i="1" s="1"/>
  <c r="I125" i="1"/>
  <c r="L125" i="1" s="1"/>
  <c r="I126" i="1"/>
  <c r="L126" i="1" s="1"/>
  <c r="I127" i="1"/>
  <c r="L127" i="1" s="1"/>
  <c r="I128" i="1"/>
  <c r="L128" i="1" s="1"/>
  <c r="I129" i="1"/>
  <c r="L129" i="1" s="1"/>
  <c r="I130" i="1"/>
  <c r="L130" i="1" s="1"/>
  <c r="I131" i="1"/>
  <c r="L131" i="1" s="1"/>
  <c r="I132" i="1"/>
  <c r="L132" i="1" s="1"/>
  <c r="I133" i="1"/>
  <c r="L133" i="1" s="1"/>
  <c r="I134" i="1"/>
  <c r="L134" i="1" s="1"/>
  <c r="I135" i="1"/>
  <c r="L135" i="1" s="1"/>
  <c r="I136" i="1"/>
  <c r="L136" i="1" s="1"/>
  <c r="I137" i="1"/>
  <c r="L137" i="1" s="1"/>
  <c r="I138" i="1"/>
  <c r="L138" i="1" s="1"/>
  <c r="I139" i="1"/>
  <c r="L139" i="1" s="1"/>
  <c r="I140" i="1"/>
  <c r="L140" i="1" s="1"/>
  <c r="I141" i="1"/>
  <c r="L141" i="1" s="1"/>
  <c r="I142" i="1"/>
  <c r="L142" i="1" s="1"/>
  <c r="I143" i="1"/>
  <c r="L143" i="1" s="1"/>
  <c r="I144" i="1"/>
  <c r="L144" i="1" s="1"/>
  <c r="I145" i="1"/>
  <c r="L145" i="1" s="1"/>
  <c r="I146" i="1"/>
  <c r="L146" i="1" s="1"/>
  <c r="I147" i="1"/>
  <c r="L147" i="1" s="1"/>
  <c r="I148" i="1"/>
  <c r="L148" i="1" s="1"/>
  <c r="I149" i="1"/>
  <c r="L149" i="1" s="1"/>
  <c r="I150" i="1"/>
  <c r="L150" i="1" s="1"/>
  <c r="I151" i="1"/>
  <c r="L151" i="1" s="1"/>
  <c r="I152" i="1"/>
  <c r="L152" i="1" s="1"/>
  <c r="I153" i="1"/>
  <c r="L153" i="1" s="1"/>
  <c r="I154" i="1"/>
  <c r="L154" i="1" s="1"/>
  <c r="I155" i="1"/>
  <c r="L155" i="1" s="1"/>
  <c r="I156" i="1"/>
  <c r="L156" i="1" s="1"/>
  <c r="I157" i="1"/>
  <c r="L157" i="1" s="1"/>
  <c r="I158" i="1"/>
  <c r="L158" i="1" s="1"/>
  <c r="I159" i="1"/>
  <c r="L159" i="1" s="1"/>
  <c r="I160" i="1"/>
  <c r="L160" i="1" s="1"/>
  <c r="I161" i="1"/>
  <c r="L161" i="1" s="1"/>
  <c r="I162" i="1"/>
  <c r="L162" i="1" s="1"/>
  <c r="I163" i="1"/>
  <c r="L163" i="1" s="1"/>
  <c r="I164" i="1"/>
  <c r="L164" i="1" s="1"/>
  <c r="I165" i="1"/>
  <c r="L165" i="1" s="1"/>
  <c r="I166" i="1"/>
  <c r="L166" i="1" s="1"/>
  <c r="I167" i="1"/>
  <c r="L167" i="1" s="1"/>
  <c r="I168" i="1"/>
  <c r="L168" i="1" s="1"/>
  <c r="I169" i="1"/>
  <c r="L169" i="1" s="1"/>
  <c r="I170" i="1"/>
  <c r="L170" i="1" s="1"/>
  <c r="I171" i="1"/>
  <c r="L171" i="1" s="1"/>
  <c r="I172" i="1"/>
  <c r="L172" i="1" s="1"/>
  <c r="I173" i="1"/>
  <c r="L173" i="1" s="1"/>
  <c r="I174" i="1"/>
  <c r="L174" i="1" s="1"/>
  <c r="I175" i="1"/>
  <c r="L175" i="1" s="1"/>
  <c r="I176" i="1"/>
  <c r="L176" i="1" s="1"/>
  <c r="I177" i="1"/>
  <c r="L177" i="1" s="1"/>
  <c r="I178" i="1"/>
  <c r="L178" i="1" s="1"/>
  <c r="I179" i="1"/>
  <c r="L179" i="1" s="1"/>
  <c r="I180" i="1"/>
  <c r="L180" i="1" s="1"/>
  <c r="I181" i="1"/>
  <c r="L181" i="1" s="1"/>
  <c r="I182" i="1"/>
  <c r="L182" i="1" s="1"/>
  <c r="I183" i="1"/>
  <c r="L183" i="1" s="1"/>
  <c r="I184" i="1"/>
  <c r="L184" i="1" s="1"/>
  <c r="I185" i="1"/>
  <c r="L185" i="1" s="1"/>
  <c r="I186" i="1"/>
  <c r="L186" i="1" s="1"/>
  <c r="I187" i="1"/>
  <c r="L187" i="1" s="1"/>
  <c r="I188" i="1"/>
  <c r="L188" i="1" s="1"/>
  <c r="I189" i="1"/>
  <c r="L189" i="1" s="1"/>
  <c r="I190" i="1"/>
  <c r="L190" i="1" s="1"/>
  <c r="I191" i="1"/>
  <c r="L191" i="1" s="1"/>
  <c r="I192" i="1"/>
  <c r="L192" i="1" s="1"/>
  <c r="I193" i="1"/>
  <c r="L193" i="1" s="1"/>
  <c r="J194" i="1"/>
  <c r="I195" i="1"/>
  <c r="L195" i="1" s="1"/>
  <c r="I196" i="1"/>
  <c r="L196" i="1" s="1"/>
  <c r="I197" i="1"/>
  <c r="L197" i="1" s="1"/>
  <c r="I198" i="1"/>
  <c r="L198" i="1" s="1"/>
  <c r="I199" i="1"/>
  <c r="L199" i="1" s="1"/>
  <c r="I200" i="1"/>
  <c r="L200" i="1" s="1"/>
  <c r="J201" i="1"/>
  <c r="H3" i="1"/>
  <c r="H4" i="1"/>
  <c r="I4" i="1" s="1"/>
  <c r="L4" i="1" s="1"/>
  <c r="H5" i="1"/>
  <c r="I5" i="1" s="1"/>
  <c r="L5" i="1" s="1"/>
  <c r="H6" i="1"/>
  <c r="H7" i="1"/>
  <c r="I7" i="1" s="1"/>
  <c r="H8" i="1"/>
  <c r="I8" i="1" s="1"/>
  <c r="L8" i="1" s="1"/>
  <c r="H9" i="1"/>
  <c r="I9" i="1" s="1"/>
  <c r="L9" i="1" s="1"/>
  <c r="H10" i="1"/>
  <c r="I10" i="1" s="1"/>
  <c r="L10" i="1" s="1"/>
  <c r="H11" i="1"/>
  <c r="H12" i="1"/>
  <c r="L12" i="1" s="1"/>
  <c r="H13" i="1"/>
  <c r="I13" i="1" s="1"/>
  <c r="L13" i="1" s="1"/>
  <c r="H14" i="1"/>
  <c r="I14" i="1" s="1"/>
  <c r="L14" i="1" s="1"/>
  <c r="H15" i="1"/>
  <c r="I15" i="1" s="1"/>
  <c r="L15" i="1" s="1"/>
  <c r="H2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3" i="1"/>
  <c r="D4" i="1"/>
  <c r="D5" i="1"/>
  <c r="D6" i="1"/>
  <c r="D7" i="1"/>
  <c r="D8" i="1"/>
  <c r="D9" i="1"/>
  <c r="D10" i="1"/>
  <c r="D11" i="1"/>
  <c r="D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3" i="1"/>
  <c r="M4" i="1"/>
  <c r="M5" i="1"/>
  <c r="M6" i="1"/>
  <c r="M7" i="1"/>
  <c r="M8" i="1"/>
  <c r="M9" i="1"/>
  <c r="M10" i="1"/>
  <c r="M11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2" i="1"/>
  <c r="L7" i="1" l="1"/>
  <c r="J7" i="1"/>
  <c r="K13" i="1"/>
  <c r="G19" i="1"/>
  <c r="G26" i="1"/>
  <c r="G24" i="1"/>
  <c r="G23" i="1"/>
  <c r="G22" i="1"/>
  <c r="G21" i="1"/>
  <c r="G20" i="1"/>
  <c r="G4" i="1"/>
  <c r="G18" i="1"/>
  <c r="G17" i="1"/>
  <c r="G14" i="1"/>
  <c r="G12" i="1"/>
  <c r="G11" i="1"/>
  <c r="G13" i="1"/>
  <c r="G10" i="1"/>
  <c r="G9" i="1"/>
  <c r="G16" i="1"/>
  <c r="G8" i="1"/>
  <c r="G15" i="1"/>
  <c r="G7" i="1"/>
  <c r="G5" i="1"/>
  <c r="J196" i="1"/>
  <c r="G196" i="1"/>
  <c r="J188" i="1"/>
  <c r="G188" i="1"/>
  <c r="J180" i="1"/>
  <c r="G180" i="1"/>
  <c r="J172" i="1"/>
  <c r="G172" i="1"/>
  <c r="J164" i="1"/>
  <c r="G164" i="1"/>
  <c r="J156" i="1"/>
  <c r="G156" i="1"/>
  <c r="J148" i="1"/>
  <c r="G148" i="1"/>
  <c r="J140" i="1"/>
  <c r="G140" i="1"/>
  <c r="J132" i="1"/>
  <c r="G132" i="1"/>
  <c r="J124" i="1"/>
  <c r="G124" i="1"/>
  <c r="J116" i="1"/>
  <c r="G116" i="1"/>
  <c r="J108" i="1"/>
  <c r="G108" i="1"/>
  <c r="J100" i="1"/>
  <c r="G100" i="1"/>
  <c r="J92" i="1"/>
  <c r="G92" i="1"/>
  <c r="J84" i="1"/>
  <c r="G84" i="1"/>
  <c r="J76" i="1"/>
  <c r="G76" i="1"/>
  <c r="J68" i="1"/>
  <c r="G68" i="1"/>
  <c r="J60" i="1"/>
  <c r="G60" i="1"/>
  <c r="J52" i="1"/>
  <c r="G52" i="1"/>
  <c r="J44" i="1"/>
  <c r="G44" i="1"/>
  <c r="J36" i="1"/>
  <c r="G36" i="1"/>
  <c r="J195" i="1"/>
  <c r="G195" i="1"/>
  <c r="J187" i="1"/>
  <c r="G187" i="1"/>
  <c r="J179" i="1"/>
  <c r="G179" i="1"/>
  <c r="J171" i="1"/>
  <c r="G171" i="1"/>
  <c r="J163" i="1"/>
  <c r="G163" i="1"/>
  <c r="J155" i="1"/>
  <c r="G155" i="1"/>
  <c r="J147" i="1"/>
  <c r="G147" i="1"/>
  <c r="J139" i="1"/>
  <c r="G139" i="1"/>
  <c r="J131" i="1"/>
  <c r="G131" i="1"/>
  <c r="J123" i="1"/>
  <c r="G123" i="1"/>
  <c r="J115" i="1"/>
  <c r="G115" i="1"/>
  <c r="J107" i="1"/>
  <c r="G107" i="1"/>
  <c r="J99" i="1"/>
  <c r="G99" i="1"/>
  <c r="J91" i="1"/>
  <c r="G91" i="1"/>
  <c r="J83" i="1"/>
  <c r="G83" i="1"/>
  <c r="J75" i="1"/>
  <c r="G75" i="1"/>
  <c r="J67" i="1"/>
  <c r="G67" i="1"/>
  <c r="J59" i="1"/>
  <c r="G59" i="1"/>
  <c r="J51" i="1"/>
  <c r="G51" i="1"/>
  <c r="J43" i="1"/>
  <c r="G43" i="1"/>
  <c r="J35" i="1"/>
  <c r="G35" i="1"/>
  <c r="J178" i="1"/>
  <c r="G178" i="1"/>
  <c r="J154" i="1"/>
  <c r="G154" i="1"/>
  <c r="J130" i="1"/>
  <c r="G130" i="1"/>
  <c r="J106" i="1"/>
  <c r="G106" i="1"/>
  <c r="J82" i="1"/>
  <c r="G82" i="1"/>
  <c r="J66" i="1"/>
  <c r="G66" i="1"/>
  <c r="J42" i="1"/>
  <c r="G42" i="1"/>
  <c r="J193" i="1"/>
  <c r="G193" i="1"/>
  <c r="J185" i="1"/>
  <c r="G185" i="1"/>
  <c r="J177" i="1"/>
  <c r="G177" i="1"/>
  <c r="J169" i="1"/>
  <c r="G169" i="1"/>
  <c r="J161" i="1"/>
  <c r="G161" i="1"/>
  <c r="J153" i="1"/>
  <c r="G153" i="1"/>
  <c r="J145" i="1"/>
  <c r="G145" i="1"/>
  <c r="J137" i="1"/>
  <c r="G137" i="1"/>
  <c r="J129" i="1"/>
  <c r="G129" i="1"/>
  <c r="J121" i="1"/>
  <c r="G121" i="1"/>
  <c r="J113" i="1"/>
  <c r="G113" i="1"/>
  <c r="J105" i="1"/>
  <c r="G105" i="1"/>
  <c r="J97" i="1"/>
  <c r="G97" i="1"/>
  <c r="J89" i="1"/>
  <c r="G89" i="1"/>
  <c r="J81" i="1"/>
  <c r="G81" i="1"/>
  <c r="J73" i="1"/>
  <c r="G73" i="1"/>
  <c r="J65" i="1"/>
  <c r="G65" i="1"/>
  <c r="J57" i="1"/>
  <c r="G57" i="1"/>
  <c r="J49" i="1"/>
  <c r="G49" i="1"/>
  <c r="J41" i="1"/>
  <c r="G41" i="1"/>
  <c r="J33" i="1"/>
  <c r="G33" i="1"/>
  <c r="J186" i="1"/>
  <c r="G186" i="1"/>
  <c r="J170" i="1"/>
  <c r="G170" i="1"/>
  <c r="J138" i="1"/>
  <c r="G138" i="1"/>
  <c r="J114" i="1"/>
  <c r="G114" i="1"/>
  <c r="J90" i="1"/>
  <c r="G90" i="1"/>
  <c r="J74" i="1"/>
  <c r="G74" i="1"/>
  <c r="J50" i="1"/>
  <c r="G50" i="1"/>
  <c r="J34" i="1"/>
  <c r="G34" i="1"/>
  <c r="J200" i="1"/>
  <c r="G200" i="1"/>
  <c r="J192" i="1"/>
  <c r="G192" i="1"/>
  <c r="J184" i="1"/>
  <c r="G184" i="1"/>
  <c r="J176" i="1"/>
  <c r="G176" i="1"/>
  <c r="J168" i="1"/>
  <c r="G168" i="1"/>
  <c r="J160" i="1"/>
  <c r="G160" i="1"/>
  <c r="J152" i="1"/>
  <c r="G152" i="1"/>
  <c r="J144" i="1"/>
  <c r="G144" i="1"/>
  <c r="J136" i="1"/>
  <c r="G136" i="1"/>
  <c r="J128" i="1"/>
  <c r="G128" i="1"/>
  <c r="J120" i="1"/>
  <c r="G120" i="1"/>
  <c r="J112" i="1"/>
  <c r="G112" i="1"/>
  <c r="J104" i="1"/>
  <c r="G104" i="1"/>
  <c r="J96" i="1"/>
  <c r="G96" i="1"/>
  <c r="J88" i="1"/>
  <c r="G88" i="1"/>
  <c r="J80" i="1"/>
  <c r="G80" i="1"/>
  <c r="J72" i="1"/>
  <c r="G72" i="1"/>
  <c r="J64" i="1"/>
  <c r="G64" i="1"/>
  <c r="J56" i="1"/>
  <c r="G56" i="1"/>
  <c r="J48" i="1"/>
  <c r="G48" i="1"/>
  <c r="J40" i="1"/>
  <c r="G40" i="1"/>
  <c r="J32" i="1"/>
  <c r="G32" i="1"/>
  <c r="J199" i="1"/>
  <c r="G199" i="1"/>
  <c r="J191" i="1"/>
  <c r="G191" i="1"/>
  <c r="J183" i="1"/>
  <c r="G183" i="1"/>
  <c r="J175" i="1"/>
  <c r="G175" i="1"/>
  <c r="J167" i="1"/>
  <c r="G167" i="1"/>
  <c r="J159" i="1"/>
  <c r="G159" i="1"/>
  <c r="J151" i="1"/>
  <c r="G151" i="1"/>
  <c r="J143" i="1"/>
  <c r="G143" i="1"/>
  <c r="J135" i="1"/>
  <c r="G135" i="1"/>
  <c r="J127" i="1"/>
  <c r="G127" i="1"/>
  <c r="J119" i="1"/>
  <c r="G119" i="1"/>
  <c r="J103" i="1"/>
  <c r="G103" i="1"/>
  <c r="J95" i="1"/>
  <c r="G95" i="1"/>
  <c r="J87" i="1"/>
  <c r="G87" i="1"/>
  <c r="J79" i="1"/>
  <c r="G79" i="1"/>
  <c r="J63" i="1"/>
  <c r="G63" i="1"/>
  <c r="J55" i="1"/>
  <c r="G55" i="1"/>
  <c r="J47" i="1"/>
  <c r="G47" i="1"/>
  <c r="J39" i="1"/>
  <c r="G39" i="1"/>
  <c r="J31" i="1"/>
  <c r="G31" i="1"/>
  <c r="J198" i="1"/>
  <c r="G198" i="1"/>
  <c r="J190" i="1"/>
  <c r="G190" i="1"/>
  <c r="J182" i="1"/>
  <c r="G182" i="1"/>
  <c r="J174" i="1"/>
  <c r="G174" i="1"/>
  <c r="J166" i="1"/>
  <c r="G166" i="1"/>
  <c r="J158" i="1"/>
  <c r="G158" i="1"/>
  <c r="J150" i="1"/>
  <c r="J142" i="1"/>
  <c r="G142" i="1"/>
  <c r="J134" i="1"/>
  <c r="G134" i="1"/>
  <c r="J126" i="1"/>
  <c r="G126" i="1"/>
  <c r="J118" i="1"/>
  <c r="G118" i="1"/>
  <c r="J110" i="1"/>
  <c r="G110" i="1"/>
  <c r="J94" i="1"/>
  <c r="G94" i="1"/>
  <c r="J86" i="1"/>
  <c r="G86" i="1"/>
  <c r="J78" i="1"/>
  <c r="G78" i="1"/>
  <c r="J70" i="1"/>
  <c r="G70" i="1"/>
  <c r="J62" i="1"/>
  <c r="G62" i="1"/>
  <c r="J54" i="1"/>
  <c r="G54" i="1"/>
  <c r="J46" i="1"/>
  <c r="G46" i="1"/>
  <c r="J38" i="1"/>
  <c r="G38" i="1"/>
  <c r="J162" i="1"/>
  <c r="G162" i="1"/>
  <c r="J146" i="1"/>
  <c r="G146" i="1"/>
  <c r="J122" i="1"/>
  <c r="G122" i="1"/>
  <c r="J98" i="1"/>
  <c r="G98" i="1"/>
  <c r="J58" i="1"/>
  <c r="G58" i="1"/>
  <c r="J197" i="1"/>
  <c r="G197" i="1"/>
  <c r="J189" i="1"/>
  <c r="G189" i="1"/>
  <c r="J181" i="1"/>
  <c r="G181" i="1"/>
  <c r="J173" i="1"/>
  <c r="G173" i="1"/>
  <c r="J165" i="1"/>
  <c r="G165" i="1"/>
  <c r="J157" i="1"/>
  <c r="G157" i="1"/>
  <c r="J149" i="1"/>
  <c r="G149" i="1"/>
  <c r="J141" i="1"/>
  <c r="G141" i="1"/>
  <c r="J133" i="1"/>
  <c r="G133" i="1"/>
  <c r="J125" i="1"/>
  <c r="G125" i="1"/>
  <c r="J117" i="1"/>
  <c r="G117" i="1"/>
  <c r="J109" i="1"/>
  <c r="G109" i="1"/>
  <c r="J101" i="1"/>
  <c r="G101" i="1"/>
  <c r="J93" i="1"/>
  <c r="G93" i="1"/>
  <c r="J85" i="1"/>
  <c r="G85" i="1"/>
  <c r="J77" i="1"/>
  <c r="G77" i="1"/>
  <c r="J69" i="1"/>
  <c r="G69" i="1"/>
  <c r="J61" i="1"/>
  <c r="G61" i="1"/>
  <c r="J53" i="1"/>
  <c r="G53" i="1"/>
  <c r="J45" i="1"/>
  <c r="G45" i="1"/>
  <c r="J37" i="1"/>
  <c r="G37" i="1"/>
  <c r="J29" i="1"/>
  <c r="G29" i="1"/>
  <c r="I3" i="1"/>
  <c r="L3" i="1" s="1"/>
  <c r="J20" i="1"/>
  <c r="J26" i="1"/>
  <c r="J24" i="1"/>
  <c r="J23" i="1"/>
  <c r="J22" i="1"/>
  <c r="J21" i="1"/>
  <c r="J19" i="1"/>
  <c r="J18" i="1"/>
  <c r="J16" i="1"/>
  <c r="J15" i="1"/>
  <c r="J14" i="1"/>
  <c r="J13" i="1"/>
  <c r="J12" i="1"/>
  <c r="J4" i="1"/>
  <c r="J11" i="1"/>
  <c r="J10" i="1"/>
  <c r="J9" i="1"/>
  <c r="J8" i="1"/>
  <c r="K32" i="1"/>
  <c r="K170" i="1"/>
  <c r="K138" i="1"/>
  <c r="K106" i="1"/>
  <c r="K200" i="1"/>
  <c r="K168" i="1"/>
  <c r="K136" i="1"/>
  <c r="K104" i="1"/>
  <c r="K194" i="1"/>
  <c r="K162" i="1"/>
  <c r="K130" i="1"/>
  <c r="K98" i="1"/>
  <c r="K192" i="1"/>
  <c r="K160" i="1"/>
  <c r="K128" i="1"/>
  <c r="K96" i="1"/>
  <c r="K186" i="1"/>
  <c r="K154" i="1"/>
  <c r="K122" i="1"/>
  <c r="K90" i="1"/>
  <c r="K184" i="1"/>
  <c r="K152" i="1"/>
  <c r="K120" i="1"/>
  <c r="K88" i="1"/>
  <c r="K178" i="1"/>
  <c r="K146" i="1"/>
  <c r="K114" i="1"/>
  <c r="K82" i="1"/>
  <c r="K176" i="1"/>
  <c r="K144" i="1"/>
  <c r="K112" i="1"/>
  <c r="K80" i="1"/>
  <c r="K201" i="1"/>
  <c r="K193" i="1"/>
  <c r="K185" i="1"/>
  <c r="K177" i="1"/>
  <c r="K169" i="1"/>
  <c r="K161" i="1"/>
  <c r="K153" i="1"/>
  <c r="K145" i="1"/>
  <c r="K137" i="1"/>
  <c r="K129" i="1"/>
  <c r="K121" i="1"/>
  <c r="K113" i="1"/>
  <c r="K105" i="1"/>
  <c r="K97" i="1"/>
  <c r="K89" i="1"/>
  <c r="K81" i="1"/>
  <c r="K72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64" i="1"/>
  <c r="K198" i="1"/>
  <c r="K190" i="1"/>
  <c r="K182" i="1"/>
  <c r="K174" i="1"/>
  <c r="K166" i="1"/>
  <c r="K158" i="1"/>
  <c r="K150" i="1"/>
  <c r="K142" i="1"/>
  <c r="K134" i="1"/>
  <c r="K126" i="1"/>
  <c r="K118" i="1"/>
  <c r="K110" i="1"/>
  <c r="K102" i="1"/>
  <c r="K94" i="1"/>
  <c r="K86" i="1"/>
  <c r="K78" i="1"/>
  <c r="K56" i="1"/>
  <c r="K197" i="1"/>
  <c r="K189" i="1"/>
  <c r="K181" i="1"/>
  <c r="K173" i="1"/>
  <c r="K165" i="1"/>
  <c r="K157" i="1"/>
  <c r="K149" i="1"/>
  <c r="K141" i="1"/>
  <c r="K133" i="1"/>
  <c r="K125" i="1"/>
  <c r="K117" i="1"/>
  <c r="K109" i="1"/>
  <c r="K101" i="1"/>
  <c r="K93" i="1"/>
  <c r="K85" i="1"/>
  <c r="K77" i="1"/>
  <c r="K48" i="1"/>
  <c r="K196" i="1"/>
  <c r="K188" i="1"/>
  <c r="K180" i="1"/>
  <c r="K172" i="1"/>
  <c r="K164" i="1"/>
  <c r="K156" i="1"/>
  <c r="K148" i="1"/>
  <c r="K140" i="1"/>
  <c r="K132" i="1"/>
  <c r="K124" i="1"/>
  <c r="K116" i="1"/>
  <c r="K108" i="1"/>
  <c r="K100" i="1"/>
  <c r="K92" i="1"/>
  <c r="K84" i="1"/>
  <c r="K76" i="1"/>
  <c r="K40" i="1"/>
  <c r="K195" i="1"/>
  <c r="K187" i="1"/>
  <c r="K179" i="1"/>
  <c r="K171" i="1"/>
  <c r="K163" i="1"/>
  <c r="K155" i="1"/>
  <c r="K147" i="1"/>
  <c r="K139" i="1"/>
  <c r="K131" i="1"/>
  <c r="K123" i="1"/>
  <c r="K115" i="1"/>
  <c r="K107" i="1"/>
  <c r="K99" i="1"/>
  <c r="K91" i="1"/>
  <c r="K83" i="1"/>
  <c r="K75" i="1"/>
  <c r="K74" i="1"/>
  <c r="K66" i="1"/>
  <c r="K58" i="1"/>
  <c r="K50" i="1"/>
  <c r="K42" i="1"/>
  <c r="K34" i="1"/>
  <c r="K73" i="1"/>
  <c r="K65" i="1"/>
  <c r="K57" i="1"/>
  <c r="K49" i="1"/>
  <c r="K41" i="1"/>
  <c r="K33" i="1"/>
  <c r="K71" i="1"/>
  <c r="K63" i="1"/>
  <c r="K55" i="1"/>
  <c r="K47" i="1"/>
  <c r="K39" i="1"/>
  <c r="K31" i="1"/>
  <c r="K26" i="1"/>
  <c r="K70" i="1"/>
  <c r="K62" i="1"/>
  <c r="K54" i="1"/>
  <c r="K46" i="1"/>
  <c r="K38" i="1"/>
  <c r="K30" i="1"/>
  <c r="K23" i="1"/>
  <c r="K69" i="1"/>
  <c r="K61" i="1"/>
  <c r="K53" i="1"/>
  <c r="K45" i="1"/>
  <c r="K37" i="1"/>
  <c r="K29" i="1"/>
  <c r="K18" i="1"/>
  <c r="K68" i="1"/>
  <c r="K60" i="1"/>
  <c r="K52" i="1"/>
  <c r="K44" i="1"/>
  <c r="K36" i="1"/>
  <c r="K28" i="1"/>
  <c r="K10" i="1"/>
  <c r="K67" i="1"/>
  <c r="K59" i="1"/>
  <c r="K51" i="1"/>
  <c r="K43" i="1"/>
  <c r="K35" i="1"/>
  <c r="K27" i="1"/>
  <c r="K25" i="1"/>
  <c r="K17" i="1"/>
  <c r="K9" i="1"/>
  <c r="K24" i="1"/>
  <c r="K16" i="1"/>
  <c r="K8" i="1"/>
  <c r="K15" i="1"/>
  <c r="K7" i="1"/>
  <c r="K22" i="1"/>
  <c r="K14" i="1"/>
  <c r="K6" i="1"/>
  <c r="K21" i="1"/>
  <c r="K5" i="1"/>
  <c r="K20" i="1"/>
  <c r="K12" i="1"/>
  <c r="K4" i="1"/>
  <c r="K19" i="1"/>
  <c r="K11" i="1"/>
  <c r="G3" i="1" l="1"/>
  <c r="K3" i="1"/>
  <c r="J3" i="1"/>
  <c r="J2" i="1"/>
  <c r="G2" i="1"/>
  <c r="K2" i="1"/>
</calcChain>
</file>

<file path=xl/sharedStrings.xml><?xml version="1.0" encoding="utf-8"?>
<sst xmlns="http://schemas.openxmlformats.org/spreadsheetml/2006/main" count="1010" uniqueCount="364">
  <si>
    <t>Student_ID</t>
  </si>
  <si>
    <t>Name</t>
  </si>
  <si>
    <t>Gender</t>
  </si>
  <si>
    <t>Age</t>
  </si>
  <si>
    <t>City</t>
  </si>
  <si>
    <t>Program</t>
  </si>
  <si>
    <t>Year</t>
  </si>
  <si>
    <t>GPA</t>
  </si>
  <si>
    <t>Admission_Year</t>
  </si>
  <si>
    <t>Semester</t>
  </si>
  <si>
    <t>UNI0001</t>
  </si>
  <si>
    <t>Anaya Raza</t>
  </si>
  <si>
    <t>Female</t>
  </si>
  <si>
    <t>Islamabad</t>
  </si>
  <si>
    <t>BSCS</t>
  </si>
  <si>
    <t>UNI0002</t>
  </si>
  <si>
    <t>Umar Siddiqui</t>
  </si>
  <si>
    <t>Male</t>
  </si>
  <si>
    <t>BCom</t>
  </si>
  <si>
    <t>UNI0003</t>
  </si>
  <si>
    <t>Ayesha Qureshi</t>
  </si>
  <si>
    <t>Lahore</t>
  </si>
  <si>
    <t>BSIT</t>
  </si>
  <si>
    <t>UNI0004</t>
  </si>
  <si>
    <t>Hira Raza</t>
  </si>
  <si>
    <t>BS Data Science</t>
  </si>
  <si>
    <t>UNI0005</t>
  </si>
  <si>
    <t>Abdullah Farooq</t>
  </si>
  <si>
    <t>Quetta</t>
  </si>
  <si>
    <t>UNI0006</t>
  </si>
  <si>
    <t>Ali Malik</t>
  </si>
  <si>
    <t>Rawalpindi</t>
  </si>
  <si>
    <t>UNI0007</t>
  </si>
  <si>
    <t>Hussain Butt</t>
  </si>
  <si>
    <t>Peshawar</t>
  </si>
  <si>
    <t>UNI0008</t>
  </si>
  <si>
    <t>Bilal Chaudhry</t>
  </si>
  <si>
    <t>BSSE</t>
  </si>
  <si>
    <t>UNI0009</t>
  </si>
  <si>
    <t>Ali Raza</t>
  </si>
  <si>
    <t>Faisalabad</t>
  </si>
  <si>
    <t>BS Mathematics</t>
  </si>
  <si>
    <t>UNI0010</t>
  </si>
  <si>
    <t>Anaya Qureshi</t>
  </si>
  <si>
    <t>UNI0011</t>
  </si>
  <si>
    <t>Abdullah Qureshi</t>
  </si>
  <si>
    <t>Karachi</t>
  </si>
  <si>
    <t>UNI0012</t>
  </si>
  <si>
    <t>Ahmed Raza</t>
  </si>
  <si>
    <t>UNI0013</t>
  </si>
  <si>
    <t>Anaya Shah</t>
  </si>
  <si>
    <t>UNI0014</t>
  </si>
  <si>
    <t>Usman Shah</t>
  </si>
  <si>
    <t>UNI0015</t>
  </si>
  <si>
    <t>Noor Qureshi</t>
  </si>
  <si>
    <t>Multan</t>
  </si>
  <si>
    <t>UNI0016</t>
  </si>
  <si>
    <t>Noor Butt</t>
  </si>
  <si>
    <t>UNI0017</t>
  </si>
  <si>
    <t>Ayesha Siddiqui</t>
  </si>
  <si>
    <t>BBA</t>
  </si>
  <si>
    <t>UNI0018</t>
  </si>
  <si>
    <t>Maryam Khan</t>
  </si>
  <si>
    <t>UNI0019</t>
  </si>
  <si>
    <t>Laiba Raza</t>
  </si>
  <si>
    <t>UNI0020</t>
  </si>
  <si>
    <t>Zainab Siddiqui</t>
  </si>
  <si>
    <t>UNI0021</t>
  </si>
  <si>
    <t>Laiba Qureshi</t>
  </si>
  <si>
    <t>UNI0022</t>
  </si>
  <si>
    <t>Sana Malik</t>
  </si>
  <si>
    <t>BSAI</t>
  </si>
  <si>
    <t>UNI0023</t>
  </si>
  <si>
    <t>Fatima Siddiqui</t>
  </si>
  <si>
    <t>UNI0024</t>
  </si>
  <si>
    <t>Laiba Khan</t>
  </si>
  <si>
    <t>UNI0025</t>
  </si>
  <si>
    <t>Iqra Qureshi</t>
  </si>
  <si>
    <t>UNI0026</t>
  </si>
  <si>
    <t>Noor Raza</t>
  </si>
  <si>
    <t>UNI0027</t>
  </si>
  <si>
    <t>Maryam Qureshi</t>
  </si>
  <si>
    <t>UNI0028</t>
  </si>
  <si>
    <t>Abdullah Siddiqui</t>
  </si>
  <si>
    <t>UNI0029</t>
  </si>
  <si>
    <t>Bilal Qureshi</t>
  </si>
  <si>
    <t>UNI0030</t>
  </si>
  <si>
    <t>Umar Butt</t>
  </si>
  <si>
    <t>UNI0031</t>
  </si>
  <si>
    <t>Hassan Khan</t>
  </si>
  <si>
    <t>UNI0032</t>
  </si>
  <si>
    <t>Iqra Shah</t>
  </si>
  <si>
    <t>UNI0033</t>
  </si>
  <si>
    <t>Hira Farooq</t>
  </si>
  <si>
    <t>UNI0034</t>
  </si>
  <si>
    <t>Zainab Qureshi</t>
  </si>
  <si>
    <t>UNI0035</t>
  </si>
  <si>
    <t>Hassan Siddiqui</t>
  </si>
  <si>
    <t>UNI0036</t>
  </si>
  <si>
    <t>Usman Qureshi</t>
  </si>
  <si>
    <t>UNI0037</t>
  </si>
  <si>
    <t>Ali Khan</t>
  </si>
  <si>
    <t>UNI0038</t>
  </si>
  <si>
    <t>UNI0039</t>
  </si>
  <si>
    <t>Ahsan Siddiqui</t>
  </si>
  <si>
    <t>UNI0040</t>
  </si>
  <si>
    <t>Hussain Khan</t>
  </si>
  <si>
    <t>UNI0041</t>
  </si>
  <si>
    <t>Umar Khan</t>
  </si>
  <si>
    <t>UNI0042</t>
  </si>
  <si>
    <t>Fatima Chaudhry</t>
  </si>
  <si>
    <t>UNI0043</t>
  </si>
  <si>
    <t>UNI0044</t>
  </si>
  <si>
    <t>Abdullah Raza</t>
  </si>
  <si>
    <t>UNI0045</t>
  </si>
  <si>
    <t>Iqra Ahmed</t>
  </si>
  <si>
    <t>UNI0046</t>
  </si>
  <si>
    <t>Sana Khan</t>
  </si>
  <si>
    <t>UNI0047</t>
  </si>
  <si>
    <t>Ahsan Farooq</t>
  </si>
  <si>
    <t>UNI0048</t>
  </si>
  <si>
    <t>Ayesha Butt</t>
  </si>
  <si>
    <t>UNI0049</t>
  </si>
  <si>
    <t>Sana Shah</t>
  </si>
  <si>
    <t>UNI0050</t>
  </si>
  <si>
    <t>Iqra Malik</t>
  </si>
  <si>
    <t>UNI0051</t>
  </si>
  <si>
    <t>Anaya Farooq</t>
  </si>
  <si>
    <t>UNI0052</t>
  </si>
  <si>
    <t>Hussain Ahmed</t>
  </si>
  <si>
    <t>UNI0053</t>
  </si>
  <si>
    <t>Ayesha Shah</t>
  </si>
  <si>
    <t>UNI0054</t>
  </si>
  <si>
    <t>Noor Siddiqui</t>
  </si>
  <si>
    <t>UNI0055</t>
  </si>
  <si>
    <t>UNI0056</t>
  </si>
  <si>
    <t>Usman Malik</t>
  </si>
  <si>
    <t>UNI0057</t>
  </si>
  <si>
    <t>UNI0058</t>
  </si>
  <si>
    <t>Abdullah Shah</t>
  </si>
  <si>
    <t>UNI0059</t>
  </si>
  <si>
    <t>UNI0060</t>
  </si>
  <si>
    <t>Umar Malik</t>
  </si>
  <si>
    <t>UNI0061</t>
  </si>
  <si>
    <t>Noor Ahmed</t>
  </si>
  <si>
    <t>UNI0062</t>
  </si>
  <si>
    <t>Zainab Malik</t>
  </si>
  <si>
    <t>UNI0063</t>
  </si>
  <si>
    <t>Usman Ahmed</t>
  </si>
  <si>
    <t>UNI0064</t>
  </si>
  <si>
    <t>Sana Raza</t>
  </si>
  <si>
    <t>UNI0065</t>
  </si>
  <si>
    <t>Iqra Khan</t>
  </si>
  <si>
    <t>UNI0066</t>
  </si>
  <si>
    <t>Umar Farooq</t>
  </si>
  <si>
    <t>UNI0067</t>
  </si>
  <si>
    <t>Noor Chaudhry</t>
  </si>
  <si>
    <t>UNI0068</t>
  </si>
  <si>
    <t>Fatima Khan</t>
  </si>
  <si>
    <t>UNI0069</t>
  </si>
  <si>
    <t>Ali Shah</t>
  </si>
  <si>
    <t>UNI0070</t>
  </si>
  <si>
    <t>UNI0071</t>
  </si>
  <si>
    <t>UNI0072</t>
  </si>
  <si>
    <t>Bilal Farooq</t>
  </si>
  <si>
    <t>UNI0073</t>
  </si>
  <si>
    <t>Ahmed Shah</t>
  </si>
  <si>
    <t>UNI0074</t>
  </si>
  <si>
    <t>Hassan Butt</t>
  </si>
  <si>
    <t>UNI0075</t>
  </si>
  <si>
    <t>Hira Shah</t>
  </si>
  <si>
    <t>UNI0076</t>
  </si>
  <si>
    <t>UNI0077</t>
  </si>
  <si>
    <t>Ahmed Farooq</t>
  </si>
  <si>
    <t>UNI0078</t>
  </si>
  <si>
    <t>Hassan Chaudhry</t>
  </si>
  <si>
    <t>UNI0079</t>
  </si>
  <si>
    <t>UNI0080</t>
  </si>
  <si>
    <t>Bilal Ahmed</t>
  </si>
  <si>
    <t>UNI0081</t>
  </si>
  <si>
    <t>UNI0082</t>
  </si>
  <si>
    <t>UNI0083</t>
  </si>
  <si>
    <t>UNI0084</t>
  </si>
  <si>
    <t>UNI0085</t>
  </si>
  <si>
    <t>Ahmed Butt</t>
  </si>
  <si>
    <t>UNI0086</t>
  </si>
  <si>
    <t>Umar Chaudhry</t>
  </si>
  <si>
    <t>UNI0087</t>
  </si>
  <si>
    <t>UNI0088</t>
  </si>
  <si>
    <t>Maryam Malik</t>
  </si>
  <si>
    <t>UNI0089</t>
  </si>
  <si>
    <t>UNI0090</t>
  </si>
  <si>
    <t>Muhammad Ahmed</t>
  </si>
  <si>
    <t>UNI0091</t>
  </si>
  <si>
    <t>Ahmed Siddiqui</t>
  </si>
  <si>
    <t>UNI0092</t>
  </si>
  <si>
    <t>Muhammad Siddiqui</t>
  </si>
  <si>
    <t>UNI0093</t>
  </si>
  <si>
    <t>Laiba Butt</t>
  </si>
  <si>
    <t>UNI0094</t>
  </si>
  <si>
    <t>Noor Farooq</t>
  </si>
  <si>
    <t>UNI0095</t>
  </si>
  <si>
    <t>UNI0096</t>
  </si>
  <si>
    <t>UNI0097</t>
  </si>
  <si>
    <t>Fatima Malik</t>
  </si>
  <si>
    <t>UNI0098</t>
  </si>
  <si>
    <t>Ali Chaudhry</t>
  </si>
  <si>
    <t>UNI0099</t>
  </si>
  <si>
    <t>UNI0100</t>
  </si>
  <si>
    <t>Hassan Farooq</t>
  </si>
  <si>
    <t>UNI0101</t>
  </si>
  <si>
    <t>Ahsan Qureshi</t>
  </si>
  <si>
    <t>UNI0102</t>
  </si>
  <si>
    <t>UNI0103</t>
  </si>
  <si>
    <t>UNI0104</t>
  </si>
  <si>
    <t>UNI0105</t>
  </si>
  <si>
    <t>Muhammad Malik</t>
  </si>
  <si>
    <t>UNI0106</t>
  </si>
  <si>
    <t>Hira Malik</t>
  </si>
  <si>
    <t>UNI0107</t>
  </si>
  <si>
    <t>Abdullah Khan</t>
  </si>
  <si>
    <t>UNI0108</t>
  </si>
  <si>
    <t>Ahsan Raza</t>
  </si>
  <si>
    <t>UNI0109</t>
  </si>
  <si>
    <t>UNI0110</t>
  </si>
  <si>
    <t>UNI0111</t>
  </si>
  <si>
    <t>Abdullah Ahmed</t>
  </si>
  <si>
    <t>UNI0112</t>
  </si>
  <si>
    <t>Ayesha Farooq</t>
  </si>
  <si>
    <t>UNI0113</t>
  </si>
  <si>
    <t>UNI0114</t>
  </si>
  <si>
    <t>Hussain Shah</t>
  </si>
  <si>
    <t>UNI0115</t>
  </si>
  <si>
    <t>Anaya Ahmed</t>
  </si>
  <si>
    <t>UNI0116</t>
  </si>
  <si>
    <t>UNI0117</t>
  </si>
  <si>
    <t>Sana Qureshi</t>
  </si>
  <si>
    <t>UNI0118</t>
  </si>
  <si>
    <t>UNI0119</t>
  </si>
  <si>
    <t>Fatima Ahmed</t>
  </si>
  <si>
    <t>UNI0120</t>
  </si>
  <si>
    <t>Ali Ahmed</t>
  </si>
  <si>
    <t>UNI0121</t>
  </si>
  <si>
    <t>UNI0122</t>
  </si>
  <si>
    <t>Laiba Farooq</t>
  </si>
  <si>
    <t>UNI0123</t>
  </si>
  <si>
    <t>UNI0124</t>
  </si>
  <si>
    <t>Zainab Farooq</t>
  </si>
  <si>
    <t>UNI0125</t>
  </si>
  <si>
    <t>UNI0126</t>
  </si>
  <si>
    <t>Anaya Malik</t>
  </si>
  <si>
    <t>UNI0127</t>
  </si>
  <si>
    <t>Muhammad Raza</t>
  </si>
  <si>
    <t>UNI0128</t>
  </si>
  <si>
    <t>Zainab Butt</t>
  </si>
  <si>
    <t>UNI0129</t>
  </si>
  <si>
    <t>Ahsan Butt</t>
  </si>
  <si>
    <t>UNI0130</t>
  </si>
  <si>
    <t>UNI0131</t>
  </si>
  <si>
    <t>Hira Qureshi</t>
  </si>
  <si>
    <t>UNI0132</t>
  </si>
  <si>
    <t>UNI0133</t>
  </si>
  <si>
    <t>UNI0134</t>
  </si>
  <si>
    <t>Ali Farooq</t>
  </si>
  <si>
    <t>UNI0135</t>
  </si>
  <si>
    <t>UNI0136</t>
  </si>
  <si>
    <t>UNI0137</t>
  </si>
  <si>
    <t>Hussain Chaudhry</t>
  </si>
  <si>
    <t>UNI0138</t>
  </si>
  <si>
    <t>UNI0139</t>
  </si>
  <si>
    <t>Maryam Shah</t>
  </si>
  <si>
    <t>UNI0140</t>
  </si>
  <si>
    <t>Ahsan Malik</t>
  </si>
  <si>
    <t>UNI0141</t>
  </si>
  <si>
    <t>Laiba Chaudhry</t>
  </si>
  <si>
    <t>UNI0142</t>
  </si>
  <si>
    <t>Sana Butt</t>
  </si>
  <si>
    <t>UNI0143</t>
  </si>
  <si>
    <t>UNI0144</t>
  </si>
  <si>
    <t>Umar Qureshi</t>
  </si>
  <si>
    <t>UNI0145</t>
  </si>
  <si>
    <t>Noor Khan</t>
  </si>
  <si>
    <t>UNI0146</t>
  </si>
  <si>
    <t>UNI0147</t>
  </si>
  <si>
    <t>UNI0148</t>
  </si>
  <si>
    <t>Hira Ahmed</t>
  </si>
  <si>
    <t>UNI0149</t>
  </si>
  <si>
    <t>UNI0150</t>
  </si>
  <si>
    <t>UNI0151</t>
  </si>
  <si>
    <t>Muhammad Farooq</t>
  </si>
  <si>
    <t>UNI0152</t>
  </si>
  <si>
    <t>Ahsan Ahmed</t>
  </si>
  <si>
    <t>UNI0153</t>
  </si>
  <si>
    <t>UNI0154</t>
  </si>
  <si>
    <t>Hira Butt</t>
  </si>
  <si>
    <t>UNI0155</t>
  </si>
  <si>
    <t>Muhammad Shah</t>
  </si>
  <si>
    <t>UNI0156</t>
  </si>
  <si>
    <t>UNI0157</t>
  </si>
  <si>
    <t>UNI0158</t>
  </si>
  <si>
    <t>UNI0159</t>
  </si>
  <si>
    <t>Fatima Raza</t>
  </si>
  <si>
    <t>UNI0160</t>
  </si>
  <si>
    <t>UNI0161</t>
  </si>
  <si>
    <t>UNI0162</t>
  </si>
  <si>
    <t>UNI0163</t>
  </si>
  <si>
    <t>Iqra Butt</t>
  </si>
  <si>
    <t>UNI0164</t>
  </si>
  <si>
    <t>Anaya Butt</t>
  </si>
  <si>
    <t>UNI0165</t>
  </si>
  <si>
    <t>Usman Raza</t>
  </si>
  <si>
    <t>UNI0166</t>
  </si>
  <si>
    <t>UNI0167</t>
  </si>
  <si>
    <t>Usman Butt</t>
  </si>
  <si>
    <t>UNI0168</t>
  </si>
  <si>
    <t>UNI0169</t>
  </si>
  <si>
    <t>Ayesha Malik</t>
  </si>
  <si>
    <t>UNI0170</t>
  </si>
  <si>
    <t>UNI0171</t>
  </si>
  <si>
    <t>UNI0172</t>
  </si>
  <si>
    <t>Anaya Siddiqui</t>
  </si>
  <si>
    <t>UNI0173</t>
  </si>
  <si>
    <t>UNI0174</t>
  </si>
  <si>
    <t>UNI0175</t>
  </si>
  <si>
    <t>Bilal Khan</t>
  </si>
  <si>
    <t>UNI0176</t>
  </si>
  <si>
    <t>UNI0177</t>
  </si>
  <si>
    <t>UNI0178</t>
  </si>
  <si>
    <t>UNI0179</t>
  </si>
  <si>
    <t>Ahmed Malik</t>
  </si>
  <si>
    <t>UNI0180</t>
  </si>
  <si>
    <t>Zainab Raza</t>
  </si>
  <si>
    <t>UNI0181</t>
  </si>
  <si>
    <t>Umar Raza</t>
  </si>
  <si>
    <t>UNI0182</t>
  </si>
  <si>
    <t>UNI0183</t>
  </si>
  <si>
    <t>Hira Khan</t>
  </si>
  <si>
    <t>UNI0184</t>
  </si>
  <si>
    <t>UNI0185</t>
  </si>
  <si>
    <t>UNI0186</t>
  </si>
  <si>
    <t>UNI0187</t>
  </si>
  <si>
    <t>UNI0188</t>
  </si>
  <si>
    <t>Maryam Raza</t>
  </si>
  <si>
    <t>UNI0189</t>
  </si>
  <si>
    <t>UNI0190</t>
  </si>
  <si>
    <t>Iqra Chaudhry</t>
  </si>
  <si>
    <t>UNI0191</t>
  </si>
  <si>
    <t>UNI0192</t>
  </si>
  <si>
    <t>Noor Shah</t>
  </si>
  <si>
    <t>UNI0193</t>
  </si>
  <si>
    <t>UNI0194</t>
  </si>
  <si>
    <t>UNI0195</t>
  </si>
  <si>
    <t>UNI0196</t>
  </si>
  <si>
    <t>UNI0197</t>
  </si>
  <si>
    <t>UNI0198</t>
  </si>
  <si>
    <t>Zainab Chaudhry</t>
  </si>
  <si>
    <t>UNI0199</t>
  </si>
  <si>
    <t>UNI0200</t>
  </si>
  <si>
    <t>Total Marks</t>
  </si>
  <si>
    <t>Obtained Marks</t>
  </si>
  <si>
    <t>Grade</t>
  </si>
  <si>
    <t>Result</t>
  </si>
  <si>
    <t>Attendance</t>
  </si>
  <si>
    <t>Hyerabad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</si>
</sst>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workbookViewId="0">
      <selection activeCell="J7" sqref="J7"/>
    </sheetView>
  </sheetViews>
  <sheetFormatPr defaultRowHeight="14.5" x14ac:dyDescent="0.35"/>
  <cols>
    <col min="1" max="1" width="12.36328125" customWidth="1"/>
    <col min="2" max="2" width="13.81640625" customWidth="1"/>
    <col min="4" max="4" width="11.90625" customWidth="1"/>
    <col min="5" max="5" width="13.7265625" customWidth="1"/>
    <col min="6" max="6" width="17.54296875" customWidth="1"/>
    <col min="8" max="8" width="17.54296875" customWidth="1"/>
    <col min="9" max="9" width="15.26953125" customWidth="1"/>
    <col min="13" max="13" width="15.453125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362</v>
      </c>
      <c r="H1" s="1" t="s">
        <v>358</v>
      </c>
      <c r="I1" s="1" t="s">
        <v>359</v>
      </c>
      <c r="J1" s="1" t="s">
        <v>7</v>
      </c>
      <c r="K1" s="1" t="s">
        <v>361</v>
      </c>
      <c r="L1" s="1" t="s">
        <v>360</v>
      </c>
      <c r="M1" s="1" t="s">
        <v>8</v>
      </c>
      <c r="N1" s="1" t="s">
        <v>9</v>
      </c>
      <c r="O1" s="1" t="s">
        <v>6</v>
      </c>
    </row>
    <row r="2" spans="1:15" x14ac:dyDescent="0.35">
      <c r="A2" t="s">
        <v>10</v>
      </c>
      <c r="B2" t="s">
        <v>11</v>
      </c>
      <c r="C2" t="s">
        <v>12</v>
      </c>
      <c r="D2">
        <f t="shared" ref="D2:D32" ca="1" si="0">18+O2+RANDBETWEEN(2,3)</f>
        <v>24</v>
      </c>
      <c r="E2" t="s">
        <v>13</v>
      </c>
      <c r="F2" t="s">
        <v>14</v>
      </c>
      <c r="G2">
        <f>ROUND((I2/550)*100,0)</f>
        <v>91</v>
      </c>
      <c r="H2">
        <f>550</f>
        <v>550</v>
      </c>
      <c r="I2">
        <v>499</v>
      </c>
      <c r="J2">
        <f t="shared" ref="J2:J33" si="1">IF(I2&gt;=495,4,IF(I2&gt;=440,3.5,IF(I2&gt;=380,3,IF(I2&gt;=330,2.5,IF(I2&gt;=260,2,1)))))</f>
        <v>4</v>
      </c>
      <c r="K2" t="str">
        <f t="shared" ref="K2:K33" si="2">IF(I2&gt;=250,"Pass", "Fail")</f>
        <v>Pass</v>
      </c>
      <c r="L2" t="str">
        <f>IF(I2&gt;=495,"A+",IF(I2&gt;=440,"A",IF(I2&gt;=385,"B",IF(I2&gt;=330,"C",IF(I2&gt;=275,"D",IF(I2&gt;=251,"E","F"))))))</f>
        <v>A+</v>
      </c>
      <c r="M2">
        <f>2026-O2+1</f>
        <v>2023</v>
      </c>
      <c r="N2">
        <f t="shared" ref="N2:N33" ca="1" si="3">RANDBETWEEN((O2*2)-1,O2*2)</f>
        <v>8</v>
      </c>
      <c r="O2">
        <v>4</v>
      </c>
    </row>
    <row r="3" spans="1:15" x14ac:dyDescent="0.35">
      <c r="A3" t="s">
        <v>15</v>
      </c>
      <c r="B3" t="s">
        <v>16</v>
      </c>
      <c r="C3" t="s">
        <v>17</v>
      </c>
      <c r="D3">
        <f t="shared" ca="1" si="0"/>
        <v>22</v>
      </c>
      <c r="E3" t="s">
        <v>13</v>
      </c>
      <c r="G3">
        <f t="shared" ref="G3:G66" ca="1" si="4">ROUND((I3/550)*100,0)</f>
        <v>81</v>
      </c>
      <c r="H3">
        <f>550</f>
        <v>550</v>
      </c>
      <c r="I3">
        <f ca="1">RANDBETWEEN(250,H3)</f>
        <v>444</v>
      </c>
      <c r="J3">
        <f t="shared" ca="1" si="1"/>
        <v>3.5</v>
      </c>
      <c r="K3" t="str">
        <f t="shared" ca="1" si="2"/>
        <v>Pass</v>
      </c>
      <c r="L3" t="str">
        <f t="shared" ref="L3:L66" ca="1" si="5">IF(I3&gt;=495,"A+",IF(I3&gt;=440,"A",IF(I3&gt;=385,"B",IF(I3&gt;=330,"C",IF(I3&gt;=275,"D",IF(I3&gt;=251,"E","F"))))))</f>
        <v>A</v>
      </c>
      <c r="M3">
        <f t="shared" ref="M3:M33" si="6">2026-O3+1</f>
        <v>2026</v>
      </c>
      <c r="N3">
        <f t="shared" ca="1" si="3"/>
        <v>1</v>
      </c>
      <c r="O3">
        <v>1</v>
      </c>
    </row>
    <row r="4" spans="1:15" x14ac:dyDescent="0.35">
      <c r="A4" t="s">
        <v>19</v>
      </c>
      <c r="B4" t="s">
        <v>20</v>
      </c>
      <c r="C4" t="s">
        <v>12</v>
      </c>
      <c r="D4">
        <f t="shared" ca="1" si="0"/>
        <v>24</v>
      </c>
      <c r="E4" t="s">
        <v>21</v>
      </c>
      <c r="F4" t="s">
        <v>22</v>
      </c>
      <c r="G4">
        <f t="shared" ca="1" si="4"/>
        <v>88</v>
      </c>
      <c r="H4">
        <f>550</f>
        <v>550</v>
      </c>
      <c r="I4">
        <f t="shared" ref="I4:I15" ca="1" si="7">RANDBETWEEN(250,H4)</f>
        <v>482</v>
      </c>
      <c r="J4">
        <f t="shared" ca="1" si="1"/>
        <v>3.5</v>
      </c>
      <c r="K4" t="str">
        <f t="shared" ca="1" si="2"/>
        <v>Pass</v>
      </c>
      <c r="L4" t="str">
        <f t="shared" ca="1" si="5"/>
        <v>A</v>
      </c>
      <c r="M4">
        <f t="shared" si="6"/>
        <v>2023</v>
      </c>
      <c r="N4">
        <f t="shared" ca="1" si="3"/>
        <v>7</v>
      </c>
      <c r="O4">
        <v>4</v>
      </c>
    </row>
    <row r="5" spans="1:15" x14ac:dyDescent="0.35">
      <c r="A5" t="s">
        <v>23</v>
      </c>
      <c r="B5" t="s">
        <v>24</v>
      </c>
      <c r="C5" t="s">
        <v>12</v>
      </c>
      <c r="D5">
        <f t="shared" ca="1" si="0"/>
        <v>25</v>
      </c>
      <c r="E5" t="s">
        <v>13</v>
      </c>
      <c r="F5" t="s">
        <v>14</v>
      </c>
      <c r="G5">
        <f t="shared" ca="1" si="4"/>
        <v>93</v>
      </c>
      <c r="H5">
        <f>550</f>
        <v>550</v>
      </c>
      <c r="I5">
        <f t="shared" ca="1" si="7"/>
        <v>511</v>
      </c>
      <c r="K5" t="str">
        <f t="shared" ca="1" si="2"/>
        <v>Pass</v>
      </c>
      <c r="L5" t="str">
        <f t="shared" ca="1" si="5"/>
        <v>A+</v>
      </c>
      <c r="M5">
        <f t="shared" si="6"/>
        <v>2023</v>
      </c>
      <c r="N5">
        <f t="shared" ca="1" si="3"/>
        <v>7</v>
      </c>
      <c r="O5">
        <v>4</v>
      </c>
    </row>
    <row r="6" spans="1:15" x14ac:dyDescent="0.35">
      <c r="A6" t="s">
        <v>26</v>
      </c>
      <c r="B6" t="s">
        <v>27</v>
      </c>
      <c r="C6" t="s">
        <v>17</v>
      </c>
      <c r="D6">
        <f t="shared" ca="1" si="0"/>
        <v>22</v>
      </c>
      <c r="E6" t="s">
        <v>28</v>
      </c>
      <c r="F6" t="s">
        <v>22</v>
      </c>
      <c r="G6">
        <f t="shared" si="4"/>
        <v>44</v>
      </c>
      <c r="H6">
        <f>550</f>
        <v>550</v>
      </c>
      <c r="I6">
        <v>244</v>
      </c>
      <c r="J6">
        <f>IF(I6&gt;=495,4,IF(I6&gt;=440,3.5,IF(I6&gt;=380,3,IF(I6&gt;=330,2.5,IF(I6&gt;=260,2,1)))))</f>
        <v>1</v>
      </c>
      <c r="K6" t="str">
        <f t="shared" si="2"/>
        <v>Fail</v>
      </c>
      <c r="L6" t="str">
        <f t="shared" si="5"/>
        <v>F</v>
      </c>
      <c r="M6">
        <f t="shared" si="6"/>
        <v>2026</v>
      </c>
      <c r="N6">
        <f t="shared" ca="1" si="3"/>
        <v>1</v>
      </c>
      <c r="O6">
        <v>1</v>
      </c>
    </row>
    <row r="7" spans="1:15" x14ac:dyDescent="0.35">
      <c r="A7" t="s">
        <v>29</v>
      </c>
      <c r="B7" t="s">
        <v>30</v>
      </c>
      <c r="C7" t="s">
        <v>17</v>
      </c>
      <c r="D7">
        <f t="shared" ca="1" si="0"/>
        <v>23</v>
      </c>
      <c r="E7" t="s">
        <v>31</v>
      </c>
      <c r="F7" t="s">
        <v>22</v>
      </c>
      <c r="G7">
        <f t="shared" ca="1" si="4"/>
        <v>50</v>
      </c>
      <c r="H7">
        <f>550</f>
        <v>550</v>
      </c>
      <c r="I7">
        <f t="shared" ca="1" si="7"/>
        <v>275</v>
      </c>
      <c r="J7">
        <f ca="1">IF(I7&gt;=495,4,IF(I7&gt;=440,3.5,IF(I7&gt;=380,3,IF(I7&gt;=330,2.5,IF(I7&gt;=260,2,1)))))</f>
        <v>2</v>
      </c>
      <c r="K7" t="str">
        <f t="shared" ca="1" si="2"/>
        <v>Pass</v>
      </c>
      <c r="L7" t="str">
        <f t="shared" ca="1" si="5"/>
        <v>D</v>
      </c>
      <c r="M7">
        <f t="shared" si="6"/>
        <v>2024</v>
      </c>
      <c r="N7">
        <f t="shared" ca="1" si="3"/>
        <v>5</v>
      </c>
      <c r="O7">
        <v>3</v>
      </c>
    </row>
    <row r="8" spans="1:15" x14ac:dyDescent="0.35">
      <c r="A8" t="s">
        <v>32</v>
      </c>
      <c r="B8" t="s">
        <v>33</v>
      </c>
      <c r="C8" t="s">
        <v>17</v>
      </c>
      <c r="D8">
        <f t="shared" ca="1" si="0"/>
        <v>24</v>
      </c>
      <c r="E8" t="s">
        <v>34</v>
      </c>
      <c r="F8" t="s">
        <v>22</v>
      </c>
      <c r="G8">
        <f t="shared" ca="1" si="4"/>
        <v>73</v>
      </c>
      <c r="H8">
        <f>550</f>
        <v>550</v>
      </c>
      <c r="I8">
        <f t="shared" ca="1" si="7"/>
        <v>404</v>
      </c>
      <c r="J8">
        <f t="shared" ca="1" si="1"/>
        <v>3</v>
      </c>
      <c r="K8" t="str">
        <f t="shared" ca="1" si="2"/>
        <v>Pass</v>
      </c>
      <c r="L8" t="str">
        <f t="shared" ca="1" si="5"/>
        <v>B</v>
      </c>
      <c r="M8">
        <f t="shared" si="6"/>
        <v>2024</v>
      </c>
      <c r="N8">
        <f t="shared" ca="1" si="3"/>
        <v>6</v>
      </c>
      <c r="O8">
        <v>3</v>
      </c>
    </row>
    <row r="9" spans="1:15" x14ac:dyDescent="0.35">
      <c r="A9" t="s">
        <v>35</v>
      </c>
      <c r="B9" t="s">
        <v>36</v>
      </c>
      <c r="C9" t="s">
        <v>17</v>
      </c>
      <c r="D9">
        <f t="shared" ca="1" si="0"/>
        <v>21</v>
      </c>
      <c r="E9" t="s">
        <v>21</v>
      </c>
      <c r="F9" t="s">
        <v>37</v>
      </c>
      <c r="G9">
        <f t="shared" ca="1" si="4"/>
        <v>86</v>
      </c>
      <c r="H9">
        <f>550</f>
        <v>550</v>
      </c>
      <c r="I9">
        <f t="shared" ca="1" si="7"/>
        <v>472</v>
      </c>
      <c r="J9">
        <f t="shared" ca="1" si="1"/>
        <v>3.5</v>
      </c>
      <c r="K9" t="str">
        <f t="shared" ca="1" si="2"/>
        <v>Pass</v>
      </c>
      <c r="L9" t="str">
        <f t="shared" ca="1" si="5"/>
        <v>A</v>
      </c>
      <c r="M9">
        <f t="shared" si="6"/>
        <v>2026</v>
      </c>
      <c r="N9">
        <f t="shared" ca="1" si="3"/>
        <v>1</v>
      </c>
      <c r="O9">
        <v>1</v>
      </c>
    </row>
    <row r="10" spans="1:15" x14ac:dyDescent="0.35">
      <c r="A10" t="s">
        <v>38</v>
      </c>
      <c r="B10" t="s">
        <v>39</v>
      </c>
      <c r="C10" t="s">
        <v>17</v>
      </c>
      <c r="D10">
        <f t="shared" ca="1" si="0"/>
        <v>23</v>
      </c>
      <c r="E10" t="s">
        <v>40</v>
      </c>
      <c r="F10" t="s">
        <v>41</v>
      </c>
      <c r="G10">
        <f t="shared" ca="1" si="4"/>
        <v>93</v>
      </c>
      <c r="H10">
        <f>550</f>
        <v>550</v>
      </c>
      <c r="I10">
        <f t="shared" ca="1" si="7"/>
        <v>512</v>
      </c>
      <c r="J10">
        <f t="shared" ca="1" si="1"/>
        <v>4</v>
      </c>
      <c r="K10" t="str">
        <f t="shared" ca="1" si="2"/>
        <v>Pass</v>
      </c>
      <c r="L10" t="str">
        <f t="shared" ca="1" si="5"/>
        <v>A+</v>
      </c>
      <c r="M10">
        <f t="shared" si="6"/>
        <v>2025</v>
      </c>
      <c r="N10">
        <f t="shared" ca="1" si="3"/>
        <v>3</v>
      </c>
      <c r="O10">
        <v>2</v>
      </c>
    </row>
    <row r="11" spans="1:15" x14ac:dyDescent="0.35">
      <c r="A11" t="s">
        <v>42</v>
      </c>
      <c r="B11" t="s">
        <v>43</v>
      </c>
      <c r="C11" t="s">
        <v>12</v>
      </c>
      <c r="D11">
        <f t="shared" ca="1" si="0"/>
        <v>23</v>
      </c>
      <c r="E11" t="s">
        <v>28</v>
      </c>
      <c r="F11" t="s">
        <v>25</v>
      </c>
      <c r="G11">
        <f t="shared" ca="1" si="4"/>
        <v>98</v>
      </c>
      <c r="H11">
        <f>550</f>
        <v>550</v>
      </c>
      <c r="I11">
        <f ca="1">RANDBETWEEN(250,H11)</f>
        <v>538</v>
      </c>
      <c r="J11">
        <f t="shared" ca="1" si="1"/>
        <v>4</v>
      </c>
      <c r="K11" t="str">
        <f t="shared" ca="1" si="2"/>
        <v>Pass</v>
      </c>
      <c r="L11" t="str">
        <f t="shared" ca="1" si="5"/>
        <v>A+</v>
      </c>
      <c r="M11">
        <f t="shared" si="6"/>
        <v>2025</v>
      </c>
      <c r="N11">
        <f t="shared" ca="1" si="3"/>
        <v>4</v>
      </c>
      <c r="O11">
        <v>2</v>
      </c>
    </row>
    <row r="12" spans="1:15" x14ac:dyDescent="0.35">
      <c r="A12" t="s">
        <v>44</v>
      </c>
      <c r="B12" t="s">
        <v>45</v>
      </c>
      <c r="C12" t="s">
        <v>17</v>
      </c>
      <c r="D12">
        <f t="shared" ca="1" si="0"/>
        <v>23</v>
      </c>
      <c r="E12" t="s">
        <v>46</v>
      </c>
      <c r="F12" t="s">
        <v>37</v>
      </c>
      <c r="G12">
        <f t="shared" si="4"/>
        <v>0</v>
      </c>
      <c r="H12">
        <f>550</f>
        <v>550</v>
      </c>
      <c r="J12">
        <f t="shared" si="1"/>
        <v>1</v>
      </c>
      <c r="K12" t="str">
        <f t="shared" si="2"/>
        <v>Fail</v>
      </c>
      <c r="L12" t="str">
        <f t="shared" si="5"/>
        <v>F</v>
      </c>
      <c r="N12">
        <f t="shared" ca="1" si="3"/>
        <v>5</v>
      </c>
      <c r="O12">
        <v>3</v>
      </c>
    </row>
    <row r="13" spans="1:15" x14ac:dyDescent="0.35">
      <c r="A13" t="s">
        <v>47</v>
      </c>
      <c r="B13" t="s">
        <v>48</v>
      </c>
      <c r="C13" t="s">
        <v>17</v>
      </c>
      <c r="D13">
        <f t="shared" ca="1" si="0"/>
        <v>22</v>
      </c>
      <c r="E13" t="s">
        <v>31</v>
      </c>
      <c r="F13" t="s">
        <v>25</v>
      </c>
      <c r="G13">
        <f t="shared" ca="1" si="4"/>
        <v>80</v>
      </c>
      <c r="H13">
        <f>550</f>
        <v>550</v>
      </c>
      <c r="I13">
        <f t="shared" ca="1" si="7"/>
        <v>439</v>
      </c>
      <c r="J13">
        <f t="shared" ca="1" si="1"/>
        <v>3</v>
      </c>
      <c r="K13" t="str">
        <f ca="1">IF(I13&gt;=251,"Pass", "Fail")</f>
        <v>Pass</v>
      </c>
      <c r="L13" t="str">
        <f t="shared" ca="1" si="5"/>
        <v>B</v>
      </c>
      <c r="M13">
        <f>2026-O13+1</f>
        <v>2025</v>
      </c>
      <c r="N13">
        <f t="shared" ca="1" si="3"/>
        <v>3</v>
      </c>
      <c r="O13">
        <v>2</v>
      </c>
    </row>
    <row r="14" spans="1:15" x14ac:dyDescent="0.35">
      <c r="A14" t="s">
        <v>49</v>
      </c>
      <c r="B14" t="s">
        <v>50</v>
      </c>
      <c r="C14" t="s">
        <v>12</v>
      </c>
      <c r="D14">
        <f t="shared" ca="1" si="0"/>
        <v>24</v>
      </c>
      <c r="E14" t="s">
        <v>28</v>
      </c>
      <c r="G14">
        <f t="shared" ca="1" si="4"/>
        <v>77</v>
      </c>
      <c r="H14">
        <f>550</f>
        <v>550</v>
      </c>
      <c r="I14">
        <f t="shared" ca="1" si="7"/>
        <v>425</v>
      </c>
      <c r="J14">
        <f t="shared" ca="1" si="1"/>
        <v>3</v>
      </c>
      <c r="K14" t="str">
        <f t="shared" ca="1" si="2"/>
        <v>Pass</v>
      </c>
      <c r="L14" t="str">
        <f t="shared" ca="1" si="5"/>
        <v>B</v>
      </c>
      <c r="M14">
        <f t="shared" si="6"/>
        <v>2024</v>
      </c>
      <c r="N14">
        <f t="shared" ca="1" si="3"/>
        <v>6</v>
      </c>
      <c r="O14">
        <v>3</v>
      </c>
    </row>
    <row r="15" spans="1:15" x14ac:dyDescent="0.35">
      <c r="A15" t="s">
        <v>51</v>
      </c>
      <c r="B15" t="s">
        <v>52</v>
      </c>
      <c r="C15" t="s">
        <v>17</v>
      </c>
      <c r="D15">
        <f t="shared" ca="1" si="0"/>
        <v>22</v>
      </c>
      <c r="E15" t="s">
        <v>40</v>
      </c>
      <c r="F15" t="s">
        <v>25</v>
      </c>
      <c r="G15">
        <f t="shared" ca="1" si="4"/>
        <v>63</v>
      </c>
      <c r="H15">
        <f>550</f>
        <v>550</v>
      </c>
      <c r="I15">
        <f t="shared" ca="1" si="7"/>
        <v>344</v>
      </c>
      <c r="J15">
        <f t="shared" ca="1" si="1"/>
        <v>2.5</v>
      </c>
      <c r="K15" t="str">
        <f t="shared" ca="1" si="2"/>
        <v>Pass</v>
      </c>
      <c r="L15" t="str">
        <f t="shared" ca="1" si="5"/>
        <v>C</v>
      </c>
      <c r="M15">
        <f t="shared" si="6"/>
        <v>2026</v>
      </c>
      <c r="N15">
        <f t="shared" ca="1" si="3"/>
        <v>2</v>
      </c>
      <c r="O15">
        <v>1</v>
      </c>
    </row>
    <row r="16" spans="1:15" x14ac:dyDescent="0.35">
      <c r="A16" t="s">
        <v>53</v>
      </c>
      <c r="B16" t="s">
        <v>54</v>
      </c>
      <c r="C16" t="s">
        <v>12</v>
      </c>
      <c r="D16">
        <f t="shared" ca="1" si="0"/>
        <v>23</v>
      </c>
      <c r="E16" t="s">
        <v>55</v>
      </c>
      <c r="F16" t="s">
        <v>22</v>
      </c>
      <c r="G16">
        <f t="shared" ca="1" si="4"/>
        <v>67</v>
      </c>
      <c r="H16">
        <f>550</f>
        <v>550</v>
      </c>
      <c r="I16">
        <f t="shared" ref="I16:I66" ca="1" si="8">RANDBETWEEN(250,550)</f>
        <v>366</v>
      </c>
      <c r="J16">
        <f t="shared" ca="1" si="1"/>
        <v>2.5</v>
      </c>
      <c r="K16" t="str">
        <f t="shared" ca="1" si="2"/>
        <v>Pass</v>
      </c>
      <c r="L16" t="str">
        <f t="shared" ca="1" si="5"/>
        <v>C</v>
      </c>
      <c r="M16">
        <f t="shared" si="6"/>
        <v>2024</v>
      </c>
      <c r="N16">
        <f t="shared" ca="1" si="3"/>
        <v>6</v>
      </c>
      <c r="O16">
        <v>3</v>
      </c>
    </row>
    <row r="17" spans="1:15" x14ac:dyDescent="0.35">
      <c r="A17" t="s">
        <v>56</v>
      </c>
      <c r="B17" t="s">
        <v>57</v>
      </c>
      <c r="C17" t="s">
        <v>12</v>
      </c>
      <c r="D17">
        <f t="shared" ca="1" si="0"/>
        <v>23</v>
      </c>
      <c r="E17" t="s">
        <v>40</v>
      </c>
      <c r="F17" t="s">
        <v>22</v>
      </c>
      <c r="G17">
        <f t="shared" ca="1" si="4"/>
        <v>94</v>
      </c>
      <c r="H17">
        <f>550</f>
        <v>550</v>
      </c>
      <c r="I17">
        <f t="shared" ca="1" si="8"/>
        <v>519</v>
      </c>
      <c r="K17" t="str">
        <f t="shared" ca="1" si="2"/>
        <v>Pass</v>
      </c>
      <c r="L17" t="str">
        <f t="shared" ca="1" si="5"/>
        <v>A+</v>
      </c>
      <c r="M17">
        <f t="shared" si="6"/>
        <v>2024</v>
      </c>
      <c r="N17">
        <f t="shared" ca="1" si="3"/>
        <v>6</v>
      </c>
      <c r="O17">
        <v>3</v>
      </c>
    </row>
    <row r="18" spans="1:15" x14ac:dyDescent="0.35">
      <c r="A18" t="s">
        <v>58</v>
      </c>
      <c r="B18" t="s">
        <v>59</v>
      </c>
      <c r="C18" t="s">
        <v>12</v>
      </c>
      <c r="D18">
        <f t="shared" ca="1" si="0"/>
        <v>25</v>
      </c>
      <c r="E18" t="s">
        <v>34</v>
      </c>
      <c r="F18" t="s">
        <v>60</v>
      </c>
      <c r="G18">
        <f t="shared" ca="1" si="4"/>
        <v>62</v>
      </c>
      <c r="H18">
        <f>550</f>
        <v>550</v>
      </c>
      <c r="I18">
        <f t="shared" ca="1" si="8"/>
        <v>343</v>
      </c>
      <c r="J18">
        <f t="shared" ca="1" si="1"/>
        <v>2.5</v>
      </c>
      <c r="K18" t="str">
        <f t="shared" ca="1" si="2"/>
        <v>Pass</v>
      </c>
      <c r="L18" t="str">
        <f t="shared" ca="1" si="5"/>
        <v>C</v>
      </c>
      <c r="M18">
        <f t="shared" si="6"/>
        <v>2023</v>
      </c>
      <c r="N18">
        <f t="shared" ca="1" si="3"/>
        <v>8</v>
      </c>
      <c r="O18">
        <v>4</v>
      </c>
    </row>
    <row r="19" spans="1:15" x14ac:dyDescent="0.35">
      <c r="A19" t="s">
        <v>61</v>
      </c>
      <c r="B19" t="s">
        <v>62</v>
      </c>
      <c r="C19" t="s">
        <v>12</v>
      </c>
      <c r="D19">
        <f t="shared" ca="1" si="0"/>
        <v>22</v>
      </c>
      <c r="E19" t="s">
        <v>28</v>
      </c>
      <c r="F19" t="s">
        <v>60</v>
      </c>
      <c r="G19">
        <f t="shared" ca="1" si="4"/>
        <v>53</v>
      </c>
      <c r="H19">
        <f>550</f>
        <v>550</v>
      </c>
      <c r="I19">
        <f t="shared" ca="1" si="8"/>
        <v>294</v>
      </c>
      <c r="J19">
        <f t="shared" ca="1" si="1"/>
        <v>2</v>
      </c>
      <c r="K19" t="str">
        <f t="shared" ca="1" si="2"/>
        <v>Pass</v>
      </c>
      <c r="L19" t="str">
        <f t="shared" ca="1" si="5"/>
        <v>D</v>
      </c>
      <c r="M19">
        <f t="shared" si="6"/>
        <v>2025</v>
      </c>
      <c r="N19">
        <f t="shared" ca="1" si="3"/>
        <v>4</v>
      </c>
      <c r="O19">
        <v>2</v>
      </c>
    </row>
    <row r="20" spans="1:15" x14ac:dyDescent="0.35">
      <c r="A20" t="s">
        <v>63</v>
      </c>
      <c r="B20" t="s">
        <v>64</v>
      </c>
      <c r="C20" t="s">
        <v>12</v>
      </c>
      <c r="D20">
        <f t="shared" ca="1" si="0"/>
        <v>21</v>
      </c>
      <c r="E20" t="s">
        <v>28</v>
      </c>
      <c r="F20" t="s">
        <v>41</v>
      </c>
      <c r="G20">
        <f t="shared" ca="1" si="4"/>
        <v>72</v>
      </c>
      <c r="H20">
        <f>550</f>
        <v>550</v>
      </c>
      <c r="I20">
        <f t="shared" ca="1" si="8"/>
        <v>394</v>
      </c>
      <c r="J20">
        <f t="shared" ca="1" si="1"/>
        <v>3</v>
      </c>
      <c r="K20" t="str">
        <f t="shared" ca="1" si="2"/>
        <v>Pass</v>
      </c>
      <c r="L20" t="str">
        <f t="shared" ca="1" si="5"/>
        <v>B</v>
      </c>
      <c r="M20">
        <f t="shared" si="6"/>
        <v>2026</v>
      </c>
      <c r="N20">
        <f t="shared" ca="1" si="3"/>
        <v>1</v>
      </c>
      <c r="O20">
        <v>1</v>
      </c>
    </row>
    <row r="21" spans="1:15" x14ac:dyDescent="0.35">
      <c r="A21" t="s">
        <v>65</v>
      </c>
      <c r="B21" t="s">
        <v>66</v>
      </c>
      <c r="C21" t="s">
        <v>12</v>
      </c>
      <c r="D21">
        <f t="shared" ca="1" si="0"/>
        <v>23</v>
      </c>
      <c r="E21" t="s">
        <v>55</v>
      </c>
      <c r="F21" t="s">
        <v>14</v>
      </c>
      <c r="G21">
        <f t="shared" ca="1" si="4"/>
        <v>73</v>
      </c>
      <c r="H21">
        <f>550</f>
        <v>550</v>
      </c>
      <c r="I21">
        <f t="shared" ca="1" si="8"/>
        <v>403</v>
      </c>
      <c r="J21">
        <f t="shared" ca="1" si="1"/>
        <v>3</v>
      </c>
      <c r="K21" t="str">
        <f t="shared" ca="1" si="2"/>
        <v>Pass</v>
      </c>
      <c r="L21" t="str">
        <f t="shared" ca="1" si="5"/>
        <v>B</v>
      </c>
      <c r="M21">
        <f t="shared" si="6"/>
        <v>2024</v>
      </c>
      <c r="N21">
        <f t="shared" ca="1" si="3"/>
        <v>5</v>
      </c>
      <c r="O21">
        <v>3</v>
      </c>
    </row>
    <row r="22" spans="1:15" x14ac:dyDescent="0.35">
      <c r="A22" t="s">
        <v>67</v>
      </c>
      <c r="B22" t="s">
        <v>68</v>
      </c>
      <c r="C22" t="s">
        <v>12</v>
      </c>
      <c r="D22">
        <f t="shared" ca="1" si="0"/>
        <v>22</v>
      </c>
      <c r="E22" t="s">
        <v>21</v>
      </c>
      <c r="F22" t="s">
        <v>22</v>
      </c>
      <c r="G22">
        <f t="shared" ca="1" si="4"/>
        <v>61</v>
      </c>
      <c r="H22">
        <f>550</f>
        <v>550</v>
      </c>
      <c r="I22">
        <f t="shared" ca="1" si="8"/>
        <v>338</v>
      </c>
      <c r="J22">
        <f t="shared" ca="1" si="1"/>
        <v>2.5</v>
      </c>
      <c r="K22" t="str">
        <f t="shared" ca="1" si="2"/>
        <v>Pass</v>
      </c>
      <c r="L22" t="str">
        <f t="shared" ca="1" si="5"/>
        <v>C</v>
      </c>
      <c r="M22">
        <f t="shared" si="6"/>
        <v>2025</v>
      </c>
      <c r="N22">
        <f t="shared" ca="1" si="3"/>
        <v>4</v>
      </c>
      <c r="O22">
        <v>2</v>
      </c>
    </row>
    <row r="23" spans="1:15" x14ac:dyDescent="0.35">
      <c r="A23" t="s">
        <v>69</v>
      </c>
      <c r="B23" t="s">
        <v>70</v>
      </c>
      <c r="C23" t="s">
        <v>12</v>
      </c>
      <c r="D23">
        <f t="shared" ca="1" si="0"/>
        <v>23</v>
      </c>
      <c r="E23" t="s">
        <v>31</v>
      </c>
      <c r="F23" t="s">
        <v>71</v>
      </c>
      <c r="G23">
        <f t="shared" ca="1" si="4"/>
        <v>69</v>
      </c>
      <c r="H23">
        <f>550</f>
        <v>550</v>
      </c>
      <c r="I23">
        <f t="shared" ca="1" si="8"/>
        <v>380</v>
      </c>
      <c r="J23">
        <f t="shared" ca="1" si="1"/>
        <v>3</v>
      </c>
      <c r="K23" t="str">
        <f t="shared" ca="1" si="2"/>
        <v>Pass</v>
      </c>
      <c r="L23" t="str">
        <f t="shared" ca="1" si="5"/>
        <v>C</v>
      </c>
      <c r="M23">
        <f t="shared" si="6"/>
        <v>2024</v>
      </c>
      <c r="N23">
        <f t="shared" ca="1" si="3"/>
        <v>5</v>
      </c>
      <c r="O23">
        <v>3</v>
      </c>
    </row>
    <row r="24" spans="1:15" x14ac:dyDescent="0.35">
      <c r="A24" t="s">
        <v>72</v>
      </c>
      <c r="B24" t="s">
        <v>73</v>
      </c>
      <c r="C24" t="s">
        <v>12</v>
      </c>
      <c r="D24">
        <f t="shared" ca="1" si="0"/>
        <v>25</v>
      </c>
      <c r="E24" t="s">
        <v>31</v>
      </c>
      <c r="F24" t="s">
        <v>18</v>
      </c>
      <c r="G24">
        <f t="shared" ca="1" si="4"/>
        <v>65</v>
      </c>
      <c r="H24">
        <f>550</f>
        <v>550</v>
      </c>
      <c r="I24">
        <f t="shared" ca="1" si="8"/>
        <v>358</v>
      </c>
      <c r="J24">
        <f t="shared" ca="1" si="1"/>
        <v>2.5</v>
      </c>
      <c r="K24" t="str">
        <f t="shared" ca="1" si="2"/>
        <v>Pass</v>
      </c>
      <c r="L24" t="str">
        <f t="shared" ca="1" si="5"/>
        <v>C</v>
      </c>
      <c r="M24">
        <f t="shared" si="6"/>
        <v>2023</v>
      </c>
      <c r="N24">
        <f t="shared" ca="1" si="3"/>
        <v>8</v>
      </c>
      <c r="O24">
        <v>4</v>
      </c>
    </row>
    <row r="25" spans="1:15" x14ac:dyDescent="0.35">
      <c r="A25" t="s">
        <v>74</v>
      </c>
      <c r="B25" t="s">
        <v>75</v>
      </c>
      <c r="C25" t="s">
        <v>12</v>
      </c>
      <c r="D25">
        <f t="shared" ca="1" si="0"/>
        <v>23</v>
      </c>
      <c r="E25" t="s">
        <v>34</v>
      </c>
      <c r="F25" t="s">
        <v>14</v>
      </c>
      <c r="G25">
        <f t="shared" si="4"/>
        <v>100</v>
      </c>
      <c r="H25">
        <f>550</f>
        <v>550</v>
      </c>
      <c r="I25">
        <v>548</v>
      </c>
      <c r="J25">
        <f t="shared" si="1"/>
        <v>4</v>
      </c>
      <c r="K25" t="str">
        <f t="shared" si="2"/>
        <v>Pass</v>
      </c>
      <c r="L25" t="str">
        <f t="shared" si="5"/>
        <v>A+</v>
      </c>
      <c r="M25">
        <f t="shared" si="6"/>
        <v>2024</v>
      </c>
      <c r="N25">
        <f t="shared" ca="1" si="3"/>
        <v>5</v>
      </c>
      <c r="O25">
        <v>3</v>
      </c>
    </row>
    <row r="26" spans="1:15" x14ac:dyDescent="0.35">
      <c r="A26" t="s">
        <v>76</v>
      </c>
      <c r="B26" t="s">
        <v>77</v>
      </c>
      <c r="C26" t="s">
        <v>12</v>
      </c>
      <c r="D26">
        <f t="shared" ca="1" si="0"/>
        <v>21</v>
      </c>
      <c r="E26" t="s">
        <v>46</v>
      </c>
      <c r="F26" t="s">
        <v>14</v>
      </c>
      <c r="G26">
        <f t="shared" ca="1" si="4"/>
        <v>46</v>
      </c>
      <c r="H26">
        <f>550</f>
        <v>550</v>
      </c>
      <c r="I26">
        <f t="shared" ca="1" si="8"/>
        <v>252</v>
      </c>
      <c r="J26">
        <f t="shared" ca="1" si="1"/>
        <v>1</v>
      </c>
      <c r="K26" t="str">
        <f t="shared" ca="1" si="2"/>
        <v>Pass</v>
      </c>
      <c r="L26" t="str">
        <f t="shared" ca="1" si="5"/>
        <v>E</v>
      </c>
      <c r="M26">
        <f t="shared" si="6"/>
        <v>2026</v>
      </c>
      <c r="N26">
        <f t="shared" ca="1" si="3"/>
        <v>2</v>
      </c>
      <c r="O26">
        <v>1</v>
      </c>
    </row>
    <row r="27" spans="1:15" x14ac:dyDescent="0.35">
      <c r="A27" t="s">
        <v>78</v>
      </c>
      <c r="B27" t="s">
        <v>79</v>
      </c>
      <c r="C27" t="s">
        <v>12</v>
      </c>
      <c r="D27">
        <f t="shared" ca="1" si="0"/>
        <v>25</v>
      </c>
      <c r="E27" t="s">
        <v>34</v>
      </c>
      <c r="F27" t="s">
        <v>14</v>
      </c>
      <c r="G27">
        <f t="shared" si="4"/>
        <v>55</v>
      </c>
      <c r="H27">
        <f>550</f>
        <v>550</v>
      </c>
      <c r="I27">
        <v>300</v>
      </c>
      <c r="J27">
        <f t="shared" si="1"/>
        <v>2</v>
      </c>
      <c r="K27" t="str">
        <f t="shared" si="2"/>
        <v>Pass</v>
      </c>
      <c r="L27" t="str">
        <f t="shared" si="5"/>
        <v>D</v>
      </c>
      <c r="M27">
        <f t="shared" si="6"/>
        <v>2023</v>
      </c>
      <c r="N27">
        <f t="shared" ca="1" si="3"/>
        <v>7</v>
      </c>
      <c r="O27">
        <v>4</v>
      </c>
    </row>
    <row r="28" spans="1:15" x14ac:dyDescent="0.35">
      <c r="A28" t="s">
        <v>80</v>
      </c>
      <c r="B28" t="s">
        <v>81</v>
      </c>
      <c r="C28" t="s">
        <v>12</v>
      </c>
      <c r="D28">
        <f t="shared" ca="1" si="0"/>
        <v>23</v>
      </c>
      <c r="E28" t="s">
        <v>40</v>
      </c>
      <c r="F28" t="s">
        <v>60</v>
      </c>
      <c r="G28">
        <f t="shared" ca="1" si="4"/>
        <v>46</v>
      </c>
      <c r="H28">
        <f>550</f>
        <v>550</v>
      </c>
      <c r="I28">
        <f ca="1">RANDBETWEEN(250,550)</f>
        <v>251</v>
      </c>
      <c r="J28">
        <f t="shared" ca="1" si="1"/>
        <v>1</v>
      </c>
      <c r="K28" t="str">
        <f t="shared" ca="1" si="2"/>
        <v>Pass</v>
      </c>
      <c r="L28" t="str">
        <f t="shared" ca="1" si="5"/>
        <v>E</v>
      </c>
      <c r="M28">
        <f t="shared" si="6"/>
        <v>2024</v>
      </c>
      <c r="N28">
        <f t="shared" ca="1" si="3"/>
        <v>6</v>
      </c>
      <c r="O28">
        <v>3</v>
      </c>
    </row>
    <row r="29" spans="1:15" x14ac:dyDescent="0.35">
      <c r="A29" t="s">
        <v>82</v>
      </c>
      <c r="B29" t="s">
        <v>83</v>
      </c>
      <c r="C29" t="s">
        <v>17</v>
      </c>
      <c r="D29">
        <f t="shared" ca="1" si="0"/>
        <v>22</v>
      </c>
      <c r="E29" t="s">
        <v>28</v>
      </c>
      <c r="F29" t="s">
        <v>14</v>
      </c>
      <c r="G29">
        <f t="shared" ca="1" si="4"/>
        <v>72</v>
      </c>
      <c r="H29">
        <f>550</f>
        <v>550</v>
      </c>
      <c r="I29">
        <f t="shared" ca="1" si="8"/>
        <v>398</v>
      </c>
      <c r="J29">
        <f t="shared" ca="1" si="1"/>
        <v>3</v>
      </c>
      <c r="K29" t="str">
        <f t="shared" ca="1" si="2"/>
        <v>Pass</v>
      </c>
      <c r="L29" t="str">
        <f t="shared" ca="1" si="5"/>
        <v>B</v>
      </c>
      <c r="M29">
        <f t="shared" si="6"/>
        <v>2025</v>
      </c>
      <c r="N29">
        <f t="shared" ca="1" si="3"/>
        <v>3</v>
      </c>
      <c r="O29">
        <v>2</v>
      </c>
    </row>
    <row r="30" spans="1:15" x14ac:dyDescent="0.35">
      <c r="A30" t="s">
        <v>84</v>
      </c>
      <c r="B30" t="s">
        <v>85</v>
      </c>
      <c r="C30" t="s">
        <v>17</v>
      </c>
      <c r="D30">
        <f t="shared" ca="1" si="0"/>
        <v>22</v>
      </c>
      <c r="E30" t="s">
        <v>55</v>
      </c>
      <c r="F30" t="s">
        <v>37</v>
      </c>
      <c r="G30">
        <f t="shared" ca="1" si="4"/>
        <v>70</v>
      </c>
      <c r="H30">
        <f>550</f>
        <v>550</v>
      </c>
      <c r="I30">
        <f ca="1">RANDBETWEEN(250,550)</f>
        <v>384</v>
      </c>
      <c r="J30">
        <f t="shared" ca="1" si="1"/>
        <v>3</v>
      </c>
      <c r="K30" t="str">
        <f t="shared" ca="1" si="2"/>
        <v>Pass</v>
      </c>
      <c r="L30" t="str">
        <f t="shared" ca="1" si="5"/>
        <v>C</v>
      </c>
      <c r="M30">
        <f t="shared" si="6"/>
        <v>2026</v>
      </c>
      <c r="N30">
        <f t="shared" ca="1" si="3"/>
        <v>2</v>
      </c>
      <c r="O30">
        <v>1</v>
      </c>
    </row>
    <row r="31" spans="1:15" x14ac:dyDescent="0.35">
      <c r="A31" t="s">
        <v>86</v>
      </c>
      <c r="B31" t="s">
        <v>87</v>
      </c>
      <c r="C31" t="s">
        <v>17</v>
      </c>
      <c r="D31">
        <f t="shared" ca="1" si="0"/>
        <v>22</v>
      </c>
      <c r="E31" t="s">
        <v>13</v>
      </c>
      <c r="F31" t="s">
        <v>25</v>
      </c>
      <c r="G31">
        <f t="shared" ca="1" si="4"/>
        <v>70</v>
      </c>
      <c r="H31">
        <f>550</f>
        <v>550</v>
      </c>
      <c r="I31">
        <f t="shared" ca="1" si="8"/>
        <v>385</v>
      </c>
      <c r="J31">
        <f t="shared" ca="1" si="1"/>
        <v>3</v>
      </c>
      <c r="K31" t="str">
        <f t="shared" ca="1" si="2"/>
        <v>Pass</v>
      </c>
      <c r="L31" t="str">
        <f t="shared" ca="1" si="5"/>
        <v>B</v>
      </c>
      <c r="M31">
        <f t="shared" si="6"/>
        <v>2026</v>
      </c>
      <c r="N31">
        <f t="shared" ca="1" si="3"/>
        <v>2</v>
      </c>
      <c r="O31">
        <v>1</v>
      </c>
    </row>
    <row r="32" spans="1:15" x14ac:dyDescent="0.35">
      <c r="A32" t="s">
        <v>88</v>
      </c>
      <c r="B32" t="s">
        <v>89</v>
      </c>
      <c r="C32" t="s">
        <v>17</v>
      </c>
      <c r="D32">
        <f t="shared" ca="1" si="0"/>
        <v>23</v>
      </c>
      <c r="E32" t="s">
        <v>34</v>
      </c>
      <c r="F32" t="s">
        <v>18</v>
      </c>
      <c r="G32">
        <f t="shared" ca="1" si="4"/>
        <v>95</v>
      </c>
      <c r="H32">
        <f>550</f>
        <v>550</v>
      </c>
      <c r="I32">
        <f t="shared" ca="1" si="8"/>
        <v>522</v>
      </c>
      <c r="J32">
        <f t="shared" ca="1" si="1"/>
        <v>4</v>
      </c>
      <c r="K32" t="str">
        <f t="shared" ca="1" si="2"/>
        <v>Pass</v>
      </c>
      <c r="L32" t="str">
        <f t="shared" ca="1" si="5"/>
        <v>A+</v>
      </c>
      <c r="M32">
        <f t="shared" si="6"/>
        <v>2024</v>
      </c>
      <c r="N32">
        <f t="shared" ca="1" si="3"/>
        <v>6</v>
      </c>
      <c r="O32">
        <v>3</v>
      </c>
    </row>
    <row r="33" spans="1:15" x14ac:dyDescent="0.35">
      <c r="A33" t="s">
        <v>90</v>
      </c>
      <c r="B33" t="s">
        <v>91</v>
      </c>
      <c r="C33" t="s">
        <v>12</v>
      </c>
      <c r="E33" t="s">
        <v>46</v>
      </c>
      <c r="F33" t="s">
        <v>25</v>
      </c>
      <c r="G33">
        <f t="shared" ca="1" si="4"/>
        <v>92</v>
      </c>
      <c r="H33">
        <f>550</f>
        <v>550</v>
      </c>
      <c r="I33">
        <f t="shared" ca="1" si="8"/>
        <v>504</v>
      </c>
      <c r="J33">
        <f t="shared" ca="1" si="1"/>
        <v>4</v>
      </c>
      <c r="K33" t="str">
        <f t="shared" ca="1" si="2"/>
        <v>Pass</v>
      </c>
      <c r="L33" t="str">
        <f t="shared" ca="1" si="5"/>
        <v>A+</v>
      </c>
      <c r="M33">
        <f t="shared" si="6"/>
        <v>2026</v>
      </c>
      <c r="N33">
        <f t="shared" ca="1" si="3"/>
        <v>2</v>
      </c>
      <c r="O33">
        <v>1</v>
      </c>
    </row>
    <row r="34" spans="1:15" x14ac:dyDescent="0.35">
      <c r="A34" t="s">
        <v>92</v>
      </c>
      <c r="B34" t="s">
        <v>93</v>
      </c>
      <c r="C34" t="s">
        <v>12</v>
      </c>
      <c r="D34">
        <f t="shared" ref="D34:D65" ca="1" si="9">18+O34+RANDBETWEEN(2,3)</f>
        <v>25</v>
      </c>
      <c r="E34" t="s">
        <v>55</v>
      </c>
      <c r="F34" t="s">
        <v>37</v>
      </c>
      <c r="G34">
        <f t="shared" ca="1" si="4"/>
        <v>99</v>
      </c>
      <c r="H34">
        <f>550</f>
        <v>550</v>
      </c>
      <c r="I34">
        <f t="shared" ca="1" si="8"/>
        <v>546</v>
      </c>
      <c r="J34">
        <f t="shared" ref="J34:J65" ca="1" si="10">IF(I34&gt;=495,4,IF(I34&gt;=440,3.5,IF(I34&gt;=380,3,IF(I34&gt;=330,2.5,IF(I34&gt;=260,2,1)))))</f>
        <v>4</v>
      </c>
      <c r="K34" t="str">
        <f t="shared" ref="K34:K65" ca="1" si="11">IF(I34&gt;=250,"Pass", "Fail")</f>
        <v>Pass</v>
      </c>
      <c r="L34" t="str">
        <f t="shared" ca="1" si="5"/>
        <v>A+</v>
      </c>
      <c r="M34">
        <f t="shared" ref="M34:M65" si="12">2026-O34+1</f>
        <v>2023</v>
      </c>
      <c r="N34">
        <f t="shared" ref="N34:N65" ca="1" si="13">RANDBETWEEN((O34*2)-1,O34*2)</f>
        <v>8</v>
      </c>
      <c r="O34">
        <v>4</v>
      </c>
    </row>
    <row r="35" spans="1:15" x14ac:dyDescent="0.35">
      <c r="A35" t="s">
        <v>94</v>
      </c>
      <c r="B35" t="s">
        <v>95</v>
      </c>
      <c r="C35" t="s">
        <v>12</v>
      </c>
      <c r="D35">
        <f t="shared" ca="1" si="9"/>
        <v>23</v>
      </c>
      <c r="E35" t="s">
        <v>21</v>
      </c>
      <c r="F35" t="s">
        <v>25</v>
      </c>
      <c r="G35">
        <f t="shared" ca="1" si="4"/>
        <v>93</v>
      </c>
      <c r="H35">
        <f>550</f>
        <v>550</v>
      </c>
      <c r="I35">
        <f t="shared" ca="1" si="8"/>
        <v>511</v>
      </c>
      <c r="J35">
        <f t="shared" ca="1" si="10"/>
        <v>4</v>
      </c>
      <c r="K35" t="str">
        <f t="shared" ca="1" si="11"/>
        <v>Pass</v>
      </c>
      <c r="L35" t="str">
        <f t="shared" ca="1" si="5"/>
        <v>A+</v>
      </c>
      <c r="M35">
        <f t="shared" si="12"/>
        <v>2024</v>
      </c>
      <c r="N35">
        <f t="shared" ca="1" si="13"/>
        <v>5</v>
      </c>
      <c r="O35">
        <v>3</v>
      </c>
    </row>
    <row r="36" spans="1:15" x14ac:dyDescent="0.35">
      <c r="A36" t="s">
        <v>96</v>
      </c>
      <c r="B36" t="s">
        <v>97</v>
      </c>
      <c r="C36" t="s">
        <v>17</v>
      </c>
      <c r="D36">
        <f t="shared" ca="1" si="9"/>
        <v>24</v>
      </c>
      <c r="E36" t="s">
        <v>40</v>
      </c>
      <c r="F36" t="s">
        <v>25</v>
      </c>
      <c r="G36">
        <f t="shared" ca="1" si="4"/>
        <v>77</v>
      </c>
      <c r="H36">
        <f>550</f>
        <v>550</v>
      </c>
      <c r="I36">
        <f t="shared" ca="1" si="8"/>
        <v>426</v>
      </c>
      <c r="J36">
        <f t="shared" ca="1" si="10"/>
        <v>3</v>
      </c>
      <c r="K36" t="str">
        <f t="shared" ca="1" si="11"/>
        <v>Pass</v>
      </c>
      <c r="L36" t="str">
        <f t="shared" ca="1" si="5"/>
        <v>B</v>
      </c>
      <c r="M36">
        <f t="shared" si="12"/>
        <v>2024</v>
      </c>
      <c r="N36">
        <f t="shared" ca="1" si="13"/>
        <v>6</v>
      </c>
      <c r="O36">
        <v>3</v>
      </c>
    </row>
    <row r="37" spans="1:15" x14ac:dyDescent="0.35">
      <c r="A37" t="s">
        <v>98</v>
      </c>
      <c r="B37" t="s">
        <v>99</v>
      </c>
      <c r="C37" t="s">
        <v>17</v>
      </c>
      <c r="D37">
        <f t="shared" ca="1" si="9"/>
        <v>25</v>
      </c>
      <c r="E37" t="s">
        <v>31</v>
      </c>
      <c r="F37" t="s">
        <v>14</v>
      </c>
      <c r="G37">
        <f t="shared" ca="1" si="4"/>
        <v>71</v>
      </c>
      <c r="H37">
        <f>550</f>
        <v>550</v>
      </c>
      <c r="I37">
        <f t="shared" ca="1" si="8"/>
        <v>388</v>
      </c>
      <c r="J37">
        <f t="shared" ca="1" si="10"/>
        <v>3</v>
      </c>
      <c r="K37" t="str">
        <f t="shared" ca="1" si="11"/>
        <v>Pass</v>
      </c>
      <c r="L37" t="str">
        <f t="shared" ca="1" si="5"/>
        <v>B</v>
      </c>
      <c r="M37">
        <f t="shared" si="12"/>
        <v>2023</v>
      </c>
      <c r="N37">
        <f t="shared" ca="1" si="13"/>
        <v>8</v>
      </c>
      <c r="O37">
        <v>4</v>
      </c>
    </row>
    <row r="38" spans="1:15" x14ac:dyDescent="0.35">
      <c r="A38" t="s">
        <v>100</v>
      </c>
      <c r="B38" t="s">
        <v>101</v>
      </c>
      <c r="C38" t="s">
        <v>17</v>
      </c>
      <c r="D38">
        <f t="shared" ca="1" si="9"/>
        <v>22</v>
      </c>
      <c r="E38" t="s">
        <v>13</v>
      </c>
      <c r="F38" t="s">
        <v>60</v>
      </c>
      <c r="G38">
        <f t="shared" ca="1" si="4"/>
        <v>61</v>
      </c>
      <c r="H38">
        <f>550</f>
        <v>550</v>
      </c>
      <c r="I38">
        <f t="shared" ca="1" si="8"/>
        <v>333</v>
      </c>
      <c r="J38">
        <f t="shared" ca="1" si="10"/>
        <v>2.5</v>
      </c>
      <c r="K38" t="str">
        <f t="shared" ca="1" si="11"/>
        <v>Pass</v>
      </c>
      <c r="L38" t="str">
        <f t="shared" ca="1" si="5"/>
        <v>C</v>
      </c>
      <c r="M38">
        <f t="shared" si="12"/>
        <v>2025</v>
      </c>
      <c r="N38">
        <f t="shared" ca="1" si="13"/>
        <v>4</v>
      </c>
      <c r="O38">
        <v>2</v>
      </c>
    </row>
    <row r="39" spans="1:15" x14ac:dyDescent="0.35">
      <c r="A39" t="s">
        <v>102</v>
      </c>
      <c r="B39" t="s">
        <v>68</v>
      </c>
      <c r="C39" t="s">
        <v>12</v>
      </c>
      <c r="D39">
        <f t="shared" ca="1" si="9"/>
        <v>22</v>
      </c>
      <c r="F39" t="s">
        <v>71</v>
      </c>
      <c r="G39">
        <f t="shared" ca="1" si="4"/>
        <v>58</v>
      </c>
      <c r="H39">
        <f>550</f>
        <v>550</v>
      </c>
      <c r="I39">
        <f t="shared" ca="1" si="8"/>
        <v>319</v>
      </c>
      <c r="J39">
        <f t="shared" ca="1" si="10"/>
        <v>2</v>
      </c>
      <c r="K39" t="str">
        <f t="shared" ca="1" si="11"/>
        <v>Pass</v>
      </c>
      <c r="L39" t="str">
        <f t="shared" ca="1" si="5"/>
        <v>D</v>
      </c>
      <c r="M39">
        <f t="shared" si="12"/>
        <v>2025</v>
      </c>
      <c r="N39">
        <f t="shared" ca="1" si="13"/>
        <v>4</v>
      </c>
      <c r="O39">
        <v>2</v>
      </c>
    </row>
    <row r="40" spans="1:15" x14ac:dyDescent="0.35">
      <c r="A40" t="s">
        <v>103</v>
      </c>
      <c r="B40" t="s">
        <v>104</v>
      </c>
      <c r="C40" t="s">
        <v>17</v>
      </c>
      <c r="D40">
        <f t="shared" ca="1" si="9"/>
        <v>25</v>
      </c>
      <c r="E40" t="s">
        <v>21</v>
      </c>
      <c r="F40" t="s">
        <v>22</v>
      </c>
      <c r="G40">
        <f t="shared" ca="1" si="4"/>
        <v>48</v>
      </c>
      <c r="H40">
        <f>550</f>
        <v>550</v>
      </c>
      <c r="I40">
        <f t="shared" ca="1" si="8"/>
        <v>265</v>
      </c>
      <c r="J40">
        <f t="shared" ca="1" si="10"/>
        <v>2</v>
      </c>
      <c r="K40" t="str">
        <f t="shared" ca="1" si="11"/>
        <v>Pass</v>
      </c>
      <c r="L40" t="str">
        <f t="shared" ca="1" si="5"/>
        <v>E</v>
      </c>
      <c r="M40">
        <f t="shared" si="12"/>
        <v>2023</v>
      </c>
      <c r="N40">
        <f t="shared" ca="1" si="13"/>
        <v>7</v>
      </c>
      <c r="O40">
        <v>4</v>
      </c>
    </row>
    <row r="41" spans="1:15" x14ac:dyDescent="0.35">
      <c r="A41" t="s">
        <v>105</v>
      </c>
      <c r="B41" t="s">
        <v>106</v>
      </c>
      <c r="C41" t="s">
        <v>17</v>
      </c>
      <c r="D41">
        <f t="shared" ca="1" si="9"/>
        <v>22</v>
      </c>
      <c r="E41" t="s">
        <v>55</v>
      </c>
      <c r="F41" t="s">
        <v>41</v>
      </c>
      <c r="G41">
        <f t="shared" ca="1" si="4"/>
        <v>95</v>
      </c>
      <c r="H41">
        <f>550</f>
        <v>550</v>
      </c>
      <c r="I41">
        <f t="shared" ca="1" si="8"/>
        <v>523</v>
      </c>
      <c r="J41">
        <f t="shared" ca="1" si="10"/>
        <v>4</v>
      </c>
      <c r="K41" t="str">
        <f t="shared" ca="1" si="11"/>
        <v>Pass</v>
      </c>
      <c r="L41" t="str">
        <f t="shared" ca="1" si="5"/>
        <v>A+</v>
      </c>
      <c r="M41">
        <f t="shared" si="12"/>
        <v>2026</v>
      </c>
      <c r="N41">
        <f t="shared" ca="1" si="13"/>
        <v>1</v>
      </c>
      <c r="O41">
        <v>1</v>
      </c>
    </row>
    <row r="42" spans="1:15" x14ac:dyDescent="0.35">
      <c r="A42" t="s">
        <v>107</v>
      </c>
      <c r="B42" t="s">
        <v>108</v>
      </c>
      <c r="C42" t="s">
        <v>17</v>
      </c>
      <c r="D42">
        <f t="shared" ca="1" si="9"/>
        <v>23</v>
      </c>
      <c r="E42" t="s">
        <v>34</v>
      </c>
      <c r="F42" t="s">
        <v>25</v>
      </c>
      <c r="G42">
        <f t="shared" ca="1" si="4"/>
        <v>90</v>
      </c>
      <c r="H42">
        <f>550</f>
        <v>550</v>
      </c>
      <c r="I42">
        <f t="shared" ca="1" si="8"/>
        <v>493</v>
      </c>
      <c r="J42">
        <f t="shared" ca="1" si="10"/>
        <v>3.5</v>
      </c>
      <c r="K42" t="str">
        <f t="shared" ca="1" si="11"/>
        <v>Pass</v>
      </c>
      <c r="L42" t="str">
        <f t="shared" ca="1" si="5"/>
        <v>A</v>
      </c>
      <c r="M42">
        <f t="shared" si="12"/>
        <v>2025</v>
      </c>
      <c r="N42">
        <f t="shared" ca="1" si="13"/>
        <v>3</v>
      </c>
      <c r="O42">
        <v>2</v>
      </c>
    </row>
    <row r="43" spans="1:15" x14ac:dyDescent="0.35">
      <c r="A43" t="s">
        <v>109</v>
      </c>
      <c r="B43" t="s">
        <v>110</v>
      </c>
      <c r="C43" t="s">
        <v>12</v>
      </c>
      <c r="D43">
        <f t="shared" ca="1" si="9"/>
        <v>23</v>
      </c>
      <c r="E43" t="s">
        <v>34</v>
      </c>
      <c r="F43" t="s">
        <v>22</v>
      </c>
      <c r="G43">
        <f t="shared" ca="1" si="4"/>
        <v>56</v>
      </c>
      <c r="H43">
        <f>550</f>
        <v>550</v>
      </c>
      <c r="I43">
        <f t="shared" ca="1" si="8"/>
        <v>306</v>
      </c>
      <c r="J43">
        <f t="shared" ca="1" si="10"/>
        <v>2</v>
      </c>
      <c r="K43" t="str">
        <f t="shared" ca="1" si="11"/>
        <v>Pass</v>
      </c>
      <c r="L43" t="str">
        <f t="shared" ca="1" si="5"/>
        <v>D</v>
      </c>
      <c r="M43">
        <f t="shared" si="12"/>
        <v>2024</v>
      </c>
      <c r="N43">
        <f t="shared" ca="1" si="13"/>
        <v>5</v>
      </c>
      <c r="O43">
        <v>3</v>
      </c>
    </row>
    <row r="44" spans="1:15" x14ac:dyDescent="0.35">
      <c r="A44" t="s">
        <v>111</v>
      </c>
      <c r="B44" t="s">
        <v>57</v>
      </c>
      <c r="C44" t="s">
        <v>12</v>
      </c>
      <c r="D44">
        <f t="shared" ca="1" si="9"/>
        <v>22</v>
      </c>
      <c r="E44" t="s">
        <v>13</v>
      </c>
      <c r="F44" t="s">
        <v>71</v>
      </c>
      <c r="G44">
        <f t="shared" ca="1" si="4"/>
        <v>67</v>
      </c>
      <c r="H44">
        <f>550</f>
        <v>550</v>
      </c>
      <c r="I44">
        <f t="shared" ca="1" si="8"/>
        <v>366</v>
      </c>
      <c r="J44">
        <f t="shared" ca="1" si="10"/>
        <v>2.5</v>
      </c>
      <c r="K44" t="str">
        <f t="shared" ca="1" si="11"/>
        <v>Pass</v>
      </c>
      <c r="L44" t="str">
        <f t="shared" ca="1" si="5"/>
        <v>C</v>
      </c>
      <c r="M44">
        <f t="shared" si="12"/>
        <v>2026</v>
      </c>
      <c r="N44">
        <f t="shared" ca="1" si="13"/>
        <v>2</v>
      </c>
      <c r="O44">
        <v>1</v>
      </c>
    </row>
    <row r="45" spans="1:15" x14ac:dyDescent="0.35">
      <c r="A45" t="s">
        <v>112</v>
      </c>
      <c r="B45" t="s">
        <v>113</v>
      </c>
      <c r="C45" t="s">
        <v>17</v>
      </c>
      <c r="D45">
        <f t="shared" ca="1" si="9"/>
        <v>25</v>
      </c>
      <c r="E45" t="s">
        <v>31</v>
      </c>
      <c r="F45" t="s">
        <v>18</v>
      </c>
      <c r="G45">
        <f t="shared" ca="1" si="4"/>
        <v>76</v>
      </c>
      <c r="H45">
        <f>550</f>
        <v>550</v>
      </c>
      <c r="I45">
        <f t="shared" ca="1" si="8"/>
        <v>418</v>
      </c>
      <c r="J45">
        <f t="shared" ca="1" si="10"/>
        <v>3</v>
      </c>
      <c r="K45" t="str">
        <f t="shared" ca="1" si="11"/>
        <v>Pass</v>
      </c>
      <c r="L45" t="str">
        <f t="shared" ca="1" si="5"/>
        <v>B</v>
      </c>
      <c r="M45">
        <f t="shared" si="12"/>
        <v>2023</v>
      </c>
      <c r="N45">
        <f t="shared" ca="1" si="13"/>
        <v>7</v>
      </c>
      <c r="O45">
        <v>4</v>
      </c>
    </row>
    <row r="46" spans="1:15" x14ac:dyDescent="0.35">
      <c r="A46" t="s">
        <v>114</v>
      </c>
      <c r="B46" t="s">
        <v>115</v>
      </c>
      <c r="C46" t="s">
        <v>12</v>
      </c>
      <c r="D46">
        <f t="shared" ca="1" si="9"/>
        <v>22</v>
      </c>
      <c r="E46" t="s">
        <v>13</v>
      </c>
      <c r="F46" t="s">
        <v>22</v>
      </c>
      <c r="G46">
        <f t="shared" ca="1" si="4"/>
        <v>77</v>
      </c>
      <c r="H46">
        <f>550</f>
        <v>550</v>
      </c>
      <c r="I46">
        <f t="shared" ca="1" si="8"/>
        <v>426</v>
      </c>
      <c r="J46">
        <f t="shared" ca="1" si="10"/>
        <v>3</v>
      </c>
      <c r="K46" t="str">
        <f t="shared" ca="1" si="11"/>
        <v>Pass</v>
      </c>
      <c r="L46" t="str">
        <f t="shared" ca="1" si="5"/>
        <v>B</v>
      </c>
      <c r="M46">
        <f t="shared" si="12"/>
        <v>2026</v>
      </c>
      <c r="N46">
        <f t="shared" ca="1" si="13"/>
        <v>1</v>
      </c>
      <c r="O46">
        <v>1</v>
      </c>
    </row>
    <row r="47" spans="1:15" x14ac:dyDescent="0.35">
      <c r="A47" t="s">
        <v>116</v>
      </c>
      <c r="B47" t="s">
        <v>117</v>
      </c>
      <c r="C47" t="s">
        <v>12</v>
      </c>
      <c r="D47">
        <f t="shared" ca="1" si="9"/>
        <v>21</v>
      </c>
      <c r="E47" t="s">
        <v>55</v>
      </c>
      <c r="F47" t="s">
        <v>71</v>
      </c>
      <c r="G47">
        <f t="shared" ca="1" si="4"/>
        <v>98</v>
      </c>
      <c r="H47">
        <f>550</f>
        <v>550</v>
      </c>
      <c r="I47">
        <f t="shared" ca="1" si="8"/>
        <v>541</v>
      </c>
      <c r="J47">
        <f t="shared" ca="1" si="10"/>
        <v>4</v>
      </c>
      <c r="K47" t="str">
        <f t="shared" ca="1" si="11"/>
        <v>Pass</v>
      </c>
      <c r="L47" t="str">
        <f t="shared" ca="1" si="5"/>
        <v>A+</v>
      </c>
      <c r="M47">
        <f t="shared" si="12"/>
        <v>2026</v>
      </c>
      <c r="N47">
        <f t="shared" ca="1" si="13"/>
        <v>2</v>
      </c>
      <c r="O47">
        <v>1</v>
      </c>
    </row>
    <row r="48" spans="1:15" x14ac:dyDescent="0.35">
      <c r="A48" t="s">
        <v>118</v>
      </c>
      <c r="B48" t="s">
        <v>119</v>
      </c>
      <c r="C48" t="s">
        <v>17</v>
      </c>
      <c r="D48">
        <f t="shared" ca="1" si="9"/>
        <v>21</v>
      </c>
      <c r="E48" t="s">
        <v>21</v>
      </c>
      <c r="F48" t="s">
        <v>71</v>
      </c>
      <c r="G48">
        <f t="shared" ca="1" si="4"/>
        <v>96</v>
      </c>
      <c r="H48">
        <f>550</f>
        <v>550</v>
      </c>
      <c r="I48">
        <f t="shared" ca="1" si="8"/>
        <v>527</v>
      </c>
      <c r="J48">
        <f t="shared" ca="1" si="10"/>
        <v>4</v>
      </c>
      <c r="K48" t="str">
        <f t="shared" ca="1" si="11"/>
        <v>Pass</v>
      </c>
      <c r="L48" t="str">
        <f t="shared" ca="1" si="5"/>
        <v>A+</v>
      </c>
      <c r="M48">
        <f t="shared" si="12"/>
        <v>2026</v>
      </c>
      <c r="N48">
        <f t="shared" ca="1" si="13"/>
        <v>2</v>
      </c>
      <c r="O48">
        <v>1</v>
      </c>
    </row>
    <row r="49" spans="1:15" x14ac:dyDescent="0.35">
      <c r="A49" t="s">
        <v>120</v>
      </c>
      <c r="B49" t="s">
        <v>121</v>
      </c>
      <c r="C49" t="s">
        <v>12</v>
      </c>
      <c r="D49">
        <f t="shared" ca="1" si="9"/>
        <v>23</v>
      </c>
      <c r="E49" t="s">
        <v>28</v>
      </c>
      <c r="F49" t="s">
        <v>22</v>
      </c>
      <c r="G49">
        <f t="shared" ca="1" si="4"/>
        <v>100</v>
      </c>
      <c r="H49">
        <f>550</f>
        <v>550</v>
      </c>
      <c r="I49">
        <f t="shared" ca="1" si="8"/>
        <v>549</v>
      </c>
      <c r="J49">
        <f t="shared" ca="1" si="10"/>
        <v>4</v>
      </c>
      <c r="K49" t="str">
        <f t="shared" ca="1" si="11"/>
        <v>Pass</v>
      </c>
      <c r="L49" t="str">
        <f t="shared" ca="1" si="5"/>
        <v>A+</v>
      </c>
      <c r="M49">
        <f t="shared" si="12"/>
        <v>2025</v>
      </c>
      <c r="N49">
        <f t="shared" ca="1" si="13"/>
        <v>3</v>
      </c>
      <c r="O49">
        <v>2</v>
      </c>
    </row>
    <row r="50" spans="1:15" x14ac:dyDescent="0.35">
      <c r="A50" t="s">
        <v>122</v>
      </c>
      <c r="B50" t="s">
        <v>123</v>
      </c>
      <c r="C50" t="s">
        <v>12</v>
      </c>
      <c r="D50">
        <f t="shared" ca="1" si="9"/>
        <v>22</v>
      </c>
      <c r="E50" t="s">
        <v>31</v>
      </c>
      <c r="F50" t="s">
        <v>14</v>
      </c>
      <c r="G50">
        <f t="shared" ca="1" si="4"/>
        <v>81</v>
      </c>
      <c r="H50">
        <f>550</f>
        <v>550</v>
      </c>
      <c r="I50">
        <f t="shared" ca="1" si="8"/>
        <v>444</v>
      </c>
      <c r="J50">
        <f t="shared" ca="1" si="10"/>
        <v>3.5</v>
      </c>
      <c r="K50" t="str">
        <f t="shared" ca="1" si="11"/>
        <v>Pass</v>
      </c>
      <c r="L50" t="str">
        <f t="shared" ca="1" si="5"/>
        <v>A</v>
      </c>
      <c r="M50">
        <f t="shared" si="12"/>
        <v>2025</v>
      </c>
      <c r="N50">
        <f t="shared" ca="1" si="13"/>
        <v>3</v>
      </c>
      <c r="O50">
        <v>2</v>
      </c>
    </row>
    <row r="51" spans="1:15" x14ac:dyDescent="0.35">
      <c r="A51" t="s">
        <v>124</v>
      </c>
      <c r="B51" t="s">
        <v>125</v>
      </c>
      <c r="C51" t="s">
        <v>12</v>
      </c>
      <c r="D51">
        <f t="shared" ca="1" si="9"/>
        <v>25</v>
      </c>
      <c r="E51" t="s">
        <v>40</v>
      </c>
      <c r="F51" t="s">
        <v>14</v>
      </c>
      <c r="G51">
        <f t="shared" ca="1" si="4"/>
        <v>59</v>
      </c>
      <c r="H51">
        <f>550</f>
        <v>550</v>
      </c>
      <c r="I51">
        <f t="shared" ca="1" si="8"/>
        <v>322</v>
      </c>
      <c r="J51">
        <f t="shared" ca="1" si="10"/>
        <v>2</v>
      </c>
      <c r="K51" t="str">
        <f t="shared" ca="1" si="11"/>
        <v>Pass</v>
      </c>
      <c r="L51" t="str">
        <f t="shared" ca="1" si="5"/>
        <v>D</v>
      </c>
      <c r="M51">
        <f t="shared" si="12"/>
        <v>2023</v>
      </c>
      <c r="N51">
        <f t="shared" ca="1" si="13"/>
        <v>7</v>
      </c>
      <c r="O51">
        <v>4</v>
      </c>
    </row>
    <row r="52" spans="1:15" x14ac:dyDescent="0.35">
      <c r="A52" t="s">
        <v>126</v>
      </c>
      <c r="B52" t="s">
        <v>127</v>
      </c>
      <c r="C52" t="s">
        <v>12</v>
      </c>
      <c r="D52">
        <f t="shared" ca="1" si="9"/>
        <v>23</v>
      </c>
      <c r="E52" t="s">
        <v>46</v>
      </c>
      <c r="F52" t="s">
        <v>71</v>
      </c>
      <c r="G52">
        <f t="shared" ca="1" si="4"/>
        <v>85</v>
      </c>
      <c r="H52">
        <f>550</f>
        <v>550</v>
      </c>
      <c r="I52">
        <f t="shared" ca="1" si="8"/>
        <v>469</v>
      </c>
      <c r="J52">
        <f t="shared" ca="1" si="10"/>
        <v>3.5</v>
      </c>
      <c r="K52" t="str">
        <f t="shared" ca="1" si="11"/>
        <v>Pass</v>
      </c>
      <c r="L52" t="str">
        <f t="shared" ca="1" si="5"/>
        <v>A</v>
      </c>
      <c r="M52">
        <f t="shared" si="12"/>
        <v>2024</v>
      </c>
      <c r="N52">
        <f t="shared" ca="1" si="13"/>
        <v>5</v>
      </c>
      <c r="O52">
        <v>3</v>
      </c>
    </row>
    <row r="53" spans="1:15" x14ac:dyDescent="0.35">
      <c r="A53" t="s">
        <v>128</v>
      </c>
      <c r="B53" t="s">
        <v>129</v>
      </c>
      <c r="C53" t="s">
        <v>17</v>
      </c>
      <c r="D53">
        <f t="shared" ca="1" si="9"/>
        <v>23</v>
      </c>
      <c r="E53" t="s">
        <v>40</v>
      </c>
      <c r="F53" t="s">
        <v>41</v>
      </c>
      <c r="G53">
        <f t="shared" ca="1" si="4"/>
        <v>50</v>
      </c>
      <c r="H53">
        <f>550</f>
        <v>550</v>
      </c>
      <c r="I53">
        <f t="shared" ca="1" si="8"/>
        <v>277</v>
      </c>
      <c r="J53">
        <f t="shared" ca="1" si="10"/>
        <v>2</v>
      </c>
      <c r="K53" t="str">
        <f t="shared" ca="1" si="11"/>
        <v>Pass</v>
      </c>
      <c r="L53" t="str">
        <f t="shared" ca="1" si="5"/>
        <v>D</v>
      </c>
      <c r="M53">
        <f t="shared" si="12"/>
        <v>2024</v>
      </c>
      <c r="N53">
        <f t="shared" ca="1" si="13"/>
        <v>6</v>
      </c>
      <c r="O53">
        <v>3</v>
      </c>
    </row>
    <row r="54" spans="1:15" x14ac:dyDescent="0.35">
      <c r="A54" t="s">
        <v>130</v>
      </c>
      <c r="B54" t="s">
        <v>131</v>
      </c>
      <c r="C54" t="s">
        <v>12</v>
      </c>
      <c r="D54">
        <f t="shared" ca="1" si="9"/>
        <v>22</v>
      </c>
      <c r="E54" t="s">
        <v>40</v>
      </c>
      <c r="F54" t="s">
        <v>22</v>
      </c>
      <c r="G54">
        <f t="shared" ca="1" si="4"/>
        <v>89</v>
      </c>
      <c r="H54">
        <f>550</f>
        <v>550</v>
      </c>
      <c r="I54">
        <f t="shared" ca="1" si="8"/>
        <v>487</v>
      </c>
      <c r="J54">
        <f t="shared" ca="1" si="10"/>
        <v>3.5</v>
      </c>
      <c r="K54" t="str">
        <f t="shared" ca="1" si="11"/>
        <v>Pass</v>
      </c>
      <c r="L54" t="str">
        <f t="shared" ca="1" si="5"/>
        <v>A</v>
      </c>
      <c r="M54">
        <f t="shared" si="12"/>
        <v>2025</v>
      </c>
      <c r="N54">
        <f t="shared" ca="1" si="13"/>
        <v>3</v>
      </c>
      <c r="O54">
        <v>2</v>
      </c>
    </row>
    <row r="55" spans="1:15" x14ac:dyDescent="0.35">
      <c r="A55" t="s">
        <v>132</v>
      </c>
      <c r="B55" t="s">
        <v>133</v>
      </c>
      <c r="C55" t="s">
        <v>12</v>
      </c>
      <c r="D55">
        <f t="shared" ca="1" si="9"/>
        <v>21</v>
      </c>
      <c r="E55" t="s">
        <v>46</v>
      </c>
      <c r="F55" t="s">
        <v>14</v>
      </c>
      <c r="G55">
        <f t="shared" ca="1" si="4"/>
        <v>78</v>
      </c>
      <c r="H55">
        <f>550</f>
        <v>550</v>
      </c>
      <c r="I55">
        <f t="shared" ca="1" si="8"/>
        <v>430</v>
      </c>
      <c r="J55">
        <f t="shared" ca="1" si="10"/>
        <v>3</v>
      </c>
      <c r="K55" t="str">
        <f t="shared" ca="1" si="11"/>
        <v>Pass</v>
      </c>
      <c r="L55" t="str">
        <f t="shared" ca="1" si="5"/>
        <v>B</v>
      </c>
      <c r="M55">
        <f t="shared" si="12"/>
        <v>2026</v>
      </c>
      <c r="N55">
        <f t="shared" ca="1" si="13"/>
        <v>1</v>
      </c>
      <c r="O55">
        <v>1</v>
      </c>
    </row>
    <row r="56" spans="1:15" x14ac:dyDescent="0.35">
      <c r="A56" t="s">
        <v>134</v>
      </c>
      <c r="B56" t="s">
        <v>99</v>
      </c>
      <c r="C56" t="s">
        <v>17</v>
      </c>
      <c r="D56">
        <f t="shared" ca="1" si="9"/>
        <v>21</v>
      </c>
      <c r="E56" t="s">
        <v>46</v>
      </c>
      <c r="F56" t="s">
        <v>71</v>
      </c>
      <c r="G56">
        <f t="shared" ca="1" si="4"/>
        <v>95</v>
      </c>
      <c r="H56">
        <f>550</f>
        <v>550</v>
      </c>
      <c r="I56">
        <f t="shared" ca="1" si="8"/>
        <v>524</v>
      </c>
      <c r="J56">
        <f t="shared" ca="1" si="10"/>
        <v>4</v>
      </c>
      <c r="K56" t="str">
        <f t="shared" ca="1" si="11"/>
        <v>Pass</v>
      </c>
      <c r="L56" t="str">
        <f t="shared" ca="1" si="5"/>
        <v>A+</v>
      </c>
      <c r="M56">
        <f t="shared" si="12"/>
        <v>2026</v>
      </c>
      <c r="N56">
        <f t="shared" ca="1" si="13"/>
        <v>2</v>
      </c>
      <c r="O56">
        <v>1</v>
      </c>
    </row>
    <row r="57" spans="1:15" x14ac:dyDescent="0.35">
      <c r="A57" t="s">
        <v>135</v>
      </c>
      <c r="B57" t="s">
        <v>136</v>
      </c>
      <c r="C57" t="s">
        <v>17</v>
      </c>
      <c r="D57">
        <f t="shared" ca="1" si="9"/>
        <v>22</v>
      </c>
      <c r="E57" t="s">
        <v>31</v>
      </c>
      <c r="F57" t="s">
        <v>37</v>
      </c>
      <c r="G57">
        <f t="shared" ca="1" si="4"/>
        <v>85</v>
      </c>
      <c r="H57">
        <f>550</f>
        <v>550</v>
      </c>
      <c r="I57">
        <f t="shared" ca="1" si="8"/>
        <v>468</v>
      </c>
      <c r="J57">
        <f t="shared" ca="1" si="10"/>
        <v>3.5</v>
      </c>
      <c r="K57" t="str">
        <f t="shared" ca="1" si="11"/>
        <v>Pass</v>
      </c>
      <c r="L57" t="str">
        <f t="shared" ca="1" si="5"/>
        <v>A</v>
      </c>
      <c r="M57">
        <f t="shared" si="12"/>
        <v>2026</v>
      </c>
      <c r="N57">
        <f t="shared" ca="1" si="13"/>
        <v>1</v>
      </c>
      <c r="O57">
        <v>1</v>
      </c>
    </row>
    <row r="58" spans="1:15" x14ac:dyDescent="0.35">
      <c r="A58" t="s">
        <v>137</v>
      </c>
      <c r="B58" t="s">
        <v>93</v>
      </c>
      <c r="C58" t="s">
        <v>12</v>
      </c>
      <c r="D58">
        <f t="shared" ca="1" si="9"/>
        <v>22</v>
      </c>
      <c r="E58" t="s">
        <v>40</v>
      </c>
      <c r="F58" t="s">
        <v>37</v>
      </c>
      <c r="G58">
        <f t="shared" ca="1" si="4"/>
        <v>98</v>
      </c>
      <c r="H58">
        <f>550</f>
        <v>550</v>
      </c>
      <c r="I58">
        <f t="shared" ca="1" si="8"/>
        <v>539</v>
      </c>
      <c r="J58">
        <f t="shared" ca="1" si="10"/>
        <v>4</v>
      </c>
      <c r="K58" t="str">
        <f t="shared" ca="1" si="11"/>
        <v>Pass</v>
      </c>
      <c r="L58" t="str">
        <f t="shared" ca="1" si="5"/>
        <v>A+</v>
      </c>
      <c r="M58">
        <f t="shared" si="12"/>
        <v>2026</v>
      </c>
      <c r="N58">
        <f t="shared" ca="1" si="13"/>
        <v>2</v>
      </c>
      <c r="O58">
        <v>1</v>
      </c>
    </row>
    <row r="59" spans="1:15" x14ac:dyDescent="0.35">
      <c r="A59" t="s">
        <v>138</v>
      </c>
      <c r="B59" t="s">
        <v>139</v>
      </c>
      <c r="C59" t="s">
        <v>17</v>
      </c>
      <c r="D59">
        <f t="shared" ca="1" si="9"/>
        <v>24</v>
      </c>
      <c r="E59" t="s">
        <v>55</v>
      </c>
      <c r="F59" t="s">
        <v>18</v>
      </c>
      <c r="G59">
        <f t="shared" ca="1" si="4"/>
        <v>61</v>
      </c>
      <c r="H59">
        <f>550</f>
        <v>550</v>
      </c>
      <c r="I59">
        <f t="shared" ca="1" si="8"/>
        <v>336</v>
      </c>
      <c r="J59">
        <f t="shared" ca="1" si="10"/>
        <v>2.5</v>
      </c>
      <c r="K59" t="str">
        <f t="shared" ca="1" si="11"/>
        <v>Pass</v>
      </c>
      <c r="L59" t="str">
        <f t="shared" ca="1" si="5"/>
        <v>C</v>
      </c>
      <c r="M59">
        <f t="shared" si="12"/>
        <v>2024</v>
      </c>
      <c r="N59">
        <f t="shared" ca="1" si="13"/>
        <v>6</v>
      </c>
      <c r="O59">
        <v>3</v>
      </c>
    </row>
    <row r="60" spans="1:15" x14ac:dyDescent="0.35">
      <c r="A60" t="s">
        <v>140</v>
      </c>
      <c r="B60" t="s">
        <v>30</v>
      </c>
      <c r="C60" t="s">
        <v>17</v>
      </c>
      <c r="D60">
        <f t="shared" ca="1" si="9"/>
        <v>23</v>
      </c>
      <c r="F60" t="s">
        <v>37</v>
      </c>
      <c r="G60">
        <f t="shared" ca="1" si="4"/>
        <v>96</v>
      </c>
      <c r="H60">
        <f>550</f>
        <v>550</v>
      </c>
      <c r="I60">
        <f t="shared" ca="1" si="8"/>
        <v>530</v>
      </c>
      <c r="J60">
        <f t="shared" ca="1" si="10"/>
        <v>4</v>
      </c>
      <c r="K60" t="str">
        <f t="shared" ca="1" si="11"/>
        <v>Pass</v>
      </c>
      <c r="L60" t="str">
        <f t="shared" ca="1" si="5"/>
        <v>A+</v>
      </c>
      <c r="M60">
        <f t="shared" si="12"/>
        <v>2024</v>
      </c>
      <c r="N60">
        <f t="shared" ca="1" si="13"/>
        <v>6</v>
      </c>
      <c r="O60">
        <v>3</v>
      </c>
    </row>
    <row r="61" spans="1:15" x14ac:dyDescent="0.35">
      <c r="A61" t="s">
        <v>141</v>
      </c>
      <c r="B61" t="s">
        <v>142</v>
      </c>
      <c r="C61" t="s">
        <v>17</v>
      </c>
      <c r="D61">
        <f t="shared" ca="1" si="9"/>
        <v>22</v>
      </c>
      <c r="E61" t="s">
        <v>31</v>
      </c>
      <c r="G61">
        <f t="shared" ca="1" si="4"/>
        <v>87</v>
      </c>
      <c r="H61">
        <f>550</f>
        <v>550</v>
      </c>
      <c r="I61">
        <f t="shared" ca="1" si="8"/>
        <v>481</v>
      </c>
      <c r="J61">
        <f t="shared" ca="1" si="10"/>
        <v>3.5</v>
      </c>
      <c r="K61" t="str">
        <f t="shared" ca="1" si="11"/>
        <v>Pass</v>
      </c>
      <c r="L61" t="str">
        <f t="shared" ca="1" si="5"/>
        <v>A</v>
      </c>
      <c r="M61">
        <f t="shared" si="12"/>
        <v>2025</v>
      </c>
      <c r="N61">
        <f t="shared" ca="1" si="13"/>
        <v>3</v>
      </c>
      <c r="O61">
        <v>2</v>
      </c>
    </row>
    <row r="62" spans="1:15" x14ac:dyDescent="0.35">
      <c r="A62" t="s">
        <v>143</v>
      </c>
      <c r="B62" t="s">
        <v>144</v>
      </c>
      <c r="C62" t="s">
        <v>12</v>
      </c>
      <c r="D62">
        <f t="shared" ca="1" si="9"/>
        <v>21</v>
      </c>
      <c r="E62" t="s">
        <v>34</v>
      </c>
      <c r="F62" t="s">
        <v>22</v>
      </c>
      <c r="G62">
        <f t="shared" ca="1" si="4"/>
        <v>94</v>
      </c>
      <c r="H62">
        <f>550</f>
        <v>550</v>
      </c>
      <c r="I62">
        <f t="shared" ca="1" si="8"/>
        <v>515</v>
      </c>
      <c r="J62">
        <f t="shared" ca="1" si="10"/>
        <v>4</v>
      </c>
      <c r="K62" t="str">
        <f t="shared" ca="1" si="11"/>
        <v>Pass</v>
      </c>
      <c r="L62" t="str">
        <f t="shared" ca="1" si="5"/>
        <v>A+</v>
      </c>
      <c r="M62">
        <f t="shared" si="12"/>
        <v>2026</v>
      </c>
      <c r="N62">
        <f t="shared" ca="1" si="13"/>
        <v>1</v>
      </c>
      <c r="O62">
        <v>1</v>
      </c>
    </row>
    <row r="63" spans="1:15" x14ac:dyDescent="0.35">
      <c r="A63" t="s">
        <v>145</v>
      </c>
      <c r="B63" t="s">
        <v>146</v>
      </c>
      <c r="C63" t="s">
        <v>12</v>
      </c>
      <c r="D63">
        <f t="shared" ca="1" si="9"/>
        <v>25</v>
      </c>
      <c r="E63" t="s">
        <v>31</v>
      </c>
      <c r="F63" t="s">
        <v>60</v>
      </c>
      <c r="G63">
        <f t="shared" ca="1" si="4"/>
        <v>60</v>
      </c>
      <c r="H63">
        <f>550</f>
        <v>550</v>
      </c>
      <c r="I63">
        <f t="shared" ca="1" si="8"/>
        <v>332</v>
      </c>
      <c r="J63">
        <f t="shared" ca="1" si="10"/>
        <v>2.5</v>
      </c>
      <c r="K63" t="str">
        <f t="shared" ca="1" si="11"/>
        <v>Pass</v>
      </c>
      <c r="L63" t="str">
        <f t="shared" ca="1" si="5"/>
        <v>C</v>
      </c>
      <c r="M63">
        <f t="shared" si="12"/>
        <v>2023</v>
      </c>
      <c r="N63">
        <f t="shared" ca="1" si="13"/>
        <v>7</v>
      </c>
      <c r="O63">
        <v>4</v>
      </c>
    </row>
    <row r="64" spans="1:15" x14ac:dyDescent="0.35">
      <c r="A64" t="s">
        <v>147</v>
      </c>
      <c r="B64" t="s">
        <v>148</v>
      </c>
      <c r="C64" t="s">
        <v>17</v>
      </c>
      <c r="D64">
        <f t="shared" ca="1" si="9"/>
        <v>23</v>
      </c>
      <c r="E64" t="s">
        <v>40</v>
      </c>
      <c r="F64" t="s">
        <v>37</v>
      </c>
      <c r="G64">
        <f t="shared" ca="1" si="4"/>
        <v>62</v>
      </c>
      <c r="H64">
        <f>550</f>
        <v>550</v>
      </c>
      <c r="I64">
        <f t="shared" ca="1" si="8"/>
        <v>343</v>
      </c>
      <c r="J64">
        <f t="shared" ca="1" si="10"/>
        <v>2.5</v>
      </c>
      <c r="K64" t="str">
        <f t="shared" ca="1" si="11"/>
        <v>Pass</v>
      </c>
      <c r="L64" t="str">
        <f t="shared" ca="1" si="5"/>
        <v>C</v>
      </c>
      <c r="M64">
        <f t="shared" si="12"/>
        <v>2024</v>
      </c>
      <c r="N64">
        <f t="shared" ca="1" si="13"/>
        <v>6</v>
      </c>
      <c r="O64">
        <v>3</v>
      </c>
    </row>
    <row r="65" spans="1:15" x14ac:dyDescent="0.35">
      <c r="A65" t="s">
        <v>149</v>
      </c>
      <c r="B65" t="s">
        <v>150</v>
      </c>
      <c r="C65" t="s">
        <v>12</v>
      </c>
      <c r="D65">
        <f t="shared" ca="1" si="9"/>
        <v>22</v>
      </c>
      <c r="E65" t="s">
        <v>46</v>
      </c>
      <c r="F65" t="s">
        <v>18</v>
      </c>
      <c r="G65">
        <f t="shared" ca="1" si="4"/>
        <v>89</v>
      </c>
      <c r="H65">
        <f>550</f>
        <v>550</v>
      </c>
      <c r="I65">
        <f t="shared" ca="1" si="8"/>
        <v>489</v>
      </c>
      <c r="J65">
        <f t="shared" ca="1" si="10"/>
        <v>3.5</v>
      </c>
      <c r="K65" t="str">
        <f t="shared" ca="1" si="11"/>
        <v>Pass</v>
      </c>
      <c r="L65" t="str">
        <f t="shared" ca="1" si="5"/>
        <v>A</v>
      </c>
      <c r="M65">
        <f t="shared" si="12"/>
        <v>2025</v>
      </c>
      <c r="N65">
        <f t="shared" ca="1" si="13"/>
        <v>3</v>
      </c>
      <c r="O65">
        <v>2</v>
      </c>
    </row>
    <row r="66" spans="1:15" x14ac:dyDescent="0.35">
      <c r="A66" t="s">
        <v>151</v>
      </c>
      <c r="B66" t="s">
        <v>152</v>
      </c>
      <c r="C66" t="s">
        <v>12</v>
      </c>
      <c r="D66">
        <f t="shared" ref="D66:D97" ca="1" si="14">18+O66+RANDBETWEEN(2,3)</f>
        <v>25</v>
      </c>
      <c r="E66" t="s">
        <v>21</v>
      </c>
      <c r="F66" t="s">
        <v>25</v>
      </c>
      <c r="G66">
        <f t="shared" ca="1" si="4"/>
        <v>71</v>
      </c>
      <c r="H66">
        <f>550</f>
        <v>550</v>
      </c>
      <c r="I66">
        <f t="shared" ca="1" si="8"/>
        <v>388</v>
      </c>
      <c r="J66">
        <f t="shared" ref="J66:J97" ca="1" si="15">IF(I66&gt;=495,4,IF(I66&gt;=440,3.5,IF(I66&gt;=380,3,IF(I66&gt;=330,2.5,IF(I66&gt;=260,2,1)))))</f>
        <v>3</v>
      </c>
      <c r="K66" t="str">
        <f t="shared" ref="K66:K97" ca="1" si="16">IF(I66&gt;=250,"Pass", "Fail")</f>
        <v>Pass</v>
      </c>
      <c r="L66" t="str">
        <f t="shared" ca="1" si="5"/>
        <v>B</v>
      </c>
      <c r="M66">
        <f t="shared" ref="M66:M97" si="17">2026-O66+1</f>
        <v>2023</v>
      </c>
      <c r="N66">
        <f t="shared" ref="N66:N97" ca="1" si="18">RANDBETWEEN((O66*2)-1,O66*2)</f>
        <v>8</v>
      </c>
      <c r="O66">
        <v>4</v>
      </c>
    </row>
    <row r="67" spans="1:15" x14ac:dyDescent="0.35">
      <c r="A67" t="s">
        <v>153</v>
      </c>
      <c r="B67" t="s">
        <v>154</v>
      </c>
      <c r="C67" t="s">
        <v>17</v>
      </c>
      <c r="D67">
        <f t="shared" ca="1" si="14"/>
        <v>21</v>
      </c>
      <c r="E67" t="s">
        <v>40</v>
      </c>
      <c r="F67" t="s">
        <v>37</v>
      </c>
      <c r="G67">
        <f t="shared" ref="G67:G130" ca="1" si="19">ROUND((I67/550)*100,0)</f>
        <v>89</v>
      </c>
      <c r="H67">
        <f>550</f>
        <v>550</v>
      </c>
      <c r="I67">
        <f t="shared" ref="I67:I130" ca="1" si="20">RANDBETWEEN(250,550)</f>
        <v>491</v>
      </c>
      <c r="J67">
        <f t="shared" ca="1" si="15"/>
        <v>3.5</v>
      </c>
      <c r="K67" t="str">
        <f t="shared" ca="1" si="16"/>
        <v>Pass</v>
      </c>
      <c r="L67" t="str">
        <f t="shared" ref="L67:L130" ca="1" si="21">IF(I67&gt;=495,"A+",IF(I67&gt;=440,"A",IF(I67&gt;=385,"B",IF(I67&gt;=330,"C",IF(I67&gt;=275,"D",IF(I67&gt;=251,"E","F"))))))</f>
        <v>A</v>
      </c>
      <c r="M67">
        <f t="shared" si="17"/>
        <v>2026</v>
      </c>
      <c r="N67">
        <f t="shared" ca="1" si="18"/>
        <v>1</v>
      </c>
      <c r="O67">
        <v>1</v>
      </c>
    </row>
    <row r="68" spans="1:15" x14ac:dyDescent="0.35">
      <c r="A68" t="s">
        <v>155</v>
      </c>
      <c r="B68" t="s">
        <v>156</v>
      </c>
      <c r="C68" t="s">
        <v>12</v>
      </c>
      <c r="D68">
        <f t="shared" ca="1" si="14"/>
        <v>22</v>
      </c>
      <c r="E68" t="s">
        <v>31</v>
      </c>
      <c r="F68" t="s">
        <v>60</v>
      </c>
      <c r="G68">
        <f t="shared" ca="1" si="19"/>
        <v>93</v>
      </c>
      <c r="H68">
        <f>550</f>
        <v>550</v>
      </c>
      <c r="I68">
        <f t="shared" ca="1" si="20"/>
        <v>513</v>
      </c>
      <c r="J68">
        <f t="shared" ca="1" si="15"/>
        <v>4</v>
      </c>
      <c r="K68" t="str">
        <f t="shared" ca="1" si="16"/>
        <v>Pass</v>
      </c>
      <c r="L68" t="str">
        <f t="shared" ca="1" si="21"/>
        <v>A+</v>
      </c>
      <c r="M68">
        <f t="shared" si="17"/>
        <v>2025</v>
      </c>
      <c r="N68">
        <f t="shared" ca="1" si="18"/>
        <v>3</v>
      </c>
      <c r="O68">
        <v>2</v>
      </c>
    </row>
    <row r="69" spans="1:15" x14ac:dyDescent="0.35">
      <c r="A69" t="s">
        <v>157</v>
      </c>
      <c r="B69" t="s">
        <v>158</v>
      </c>
      <c r="C69" t="s">
        <v>12</v>
      </c>
      <c r="D69">
        <f t="shared" ca="1" si="14"/>
        <v>23</v>
      </c>
      <c r="E69" t="s">
        <v>28</v>
      </c>
      <c r="F69" t="s">
        <v>41</v>
      </c>
      <c r="G69">
        <f t="shared" ca="1" si="19"/>
        <v>83</v>
      </c>
      <c r="H69">
        <f>550</f>
        <v>550</v>
      </c>
      <c r="I69">
        <f t="shared" ca="1" si="20"/>
        <v>454</v>
      </c>
      <c r="J69">
        <f t="shared" ca="1" si="15"/>
        <v>3.5</v>
      </c>
      <c r="K69" t="str">
        <f t="shared" ca="1" si="16"/>
        <v>Pass</v>
      </c>
      <c r="L69" t="str">
        <f t="shared" ca="1" si="21"/>
        <v>A</v>
      </c>
      <c r="M69">
        <f t="shared" si="17"/>
        <v>2025</v>
      </c>
      <c r="N69">
        <f t="shared" ca="1" si="18"/>
        <v>3</v>
      </c>
      <c r="O69">
        <v>2</v>
      </c>
    </row>
    <row r="70" spans="1:15" x14ac:dyDescent="0.35">
      <c r="A70" t="s">
        <v>159</v>
      </c>
      <c r="B70" t="s">
        <v>160</v>
      </c>
      <c r="C70" t="s">
        <v>17</v>
      </c>
      <c r="D70">
        <f t="shared" ca="1" si="14"/>
        <v>23</v>
      </c>
      <c r="E70" t="s">
        <v>40</v>
      </c>
      <c r="F70" t="s">
        <v>18</v>
      </c>
      <c r="G70">
        <f t="shared" ca="1" si="19"/>
        <v>91</v>
      </c>
      <c r="H70">
        <f>550</f>
        <v>550</v>
      </c>
      <c r="I70">
        <f t="shared" ca="1" si="20"/>
        <v>499</v>
      </c>
      <c r="J70">
        <f t="shared" ca="1" si="15"/>
        <v>4</v>
      </c>
      <c r="K70" t="str">
        <f t="shared" ca="1" si="16"/>
        <v>Pass</v>
      </c>
      <c r="L70" t="str">
        <f t="shared" ca="1" si="21"/>
        <v>A+</v>
      </c>
      <c r="M70">
        <f t="shared" si="17"/>
        <v>2024</v>
      </c>
      <c r="N70">
        <f t="shared" ca="1" si="18"/>
        <v>6</v>
      </c>
      <c r="O70">
        <v>3</v>
      </c>
    </row>
    <row r="71" spans="1:15" x14ac:dyDescent="0.35">
      <c r="A71" t="s">
        <v>161</v>
      </c>
      <c r="B71" t="s">
        <v>148</v>
      </c>
      <c r="C71" t="s">
        <v>17</v>
      </c>
      <c r="D71">
        <f t="shared" ca="1" si="14"/>
        <v>21</v>
      </c>
      <c r="E71" t="s">
        <v>40</v>
      </c>
      <c r="F71" t="s">
        <v>60</v>
      </c>
      <c r="G71">
        <f t="shared" si="19"/>
        <v>36</v>
      </c>
      <c r="H71">
        <f>550</f>
        <v>550</v>
      </c>
      <c r="I71">
        <v>200</v>
      </c>
      <c r="J71">
        <f t="shared" si="15"/>
        <v>1</v>
      </c>
      <c r="K71" t="str">
        <f t="shared" si="16"/>
        <v>Fail</v>
      </c>
      <c r="L71" t="str">
        <f t="shared" si="21"/>
        <v>F</v>
      </c>
      <c r="M71">
        <f t="shared" si="17"/>
        <v>2026</v>
      </c>
      <c r="N71">
        <f t="shared" ca="1" si="18"/>
        <v>1</v>
      </c>
      <c r="O71">
        <v>1</v>
      </c>
    </row>
    <row r="72" spans="1:15" x14ac:dyDescent="0.35">
      <c r="A72" t="s">
        <v>162</v>
      </c>
      <c r="B72" t="s">
        <v>97</v>
      </c>
      <c r="C72" t="s">
        <v>17</v>
      </c>
      <c r="D72">
        <f t="shared" ca="1" si="14"/>
        <v>22</v>
      </c>
      <c r="E72" t="s">
        <v>55</v>
      </c>
      <c r="F72" t="s">
        <v>37</v>
      </c>
      <c r="G72">
        <f t="shared" ca="1" si="19"/>
        <v>66</v>
      </c>
      <c r="H72">
        <f>550</f>
        <v>550</v>
      </c>
      <c r="I72">
        <f t="shared" ca="1" si="20"/>
        <v>362</v>
      </c>
      <c r="J72">
        <f t="shared" ca="1" si="15"/>
        <v>2.5</v>
      </c>
      <c r="K72" t="str">
        <f t="shared" ca="1" si="16"/>
        <v>Pass</v>
      </c>
      <c r="L72" t="str">
        <f t="shared" ca="1" si="21"/>
        <v>C</v>
      </c>
      <c r="M72">
        <f t="shared" si="17"/>
        <v>2026</v>
      </c>
      <c r="N72">
        <f t="shared" ca="1" si="18"/>
        <v>1</v>
      </c>
      <c r="O72">
        <v>1</v>
      </c>
    </row>
    <row r="73" spans="1:15" x14ac:dyDescent="0.35">
      <c r="A73" t="s">
        <v>163</v>
      </c>
      <c r="B73" t="s">
        <v>164</v>
      </c>
      <c r="C73" t="s">
        <v>17</v>
      </c>
      <c r="D73">
        <f t="shared" ca="1" si="14"/>
        <v>22</v>
      </c>
      <c r="E73" t="s">
        <v>13</v>
      </c>
      <c r="F73" t="s">
        <v>41</v>
      </c>
      <c r="G73">
        <f t="shared" ca="1" si="19"/>
        <v>89</v>
      </c>
      <c r="H73">
        <f>550</f>
        <v>550</v>
      </c>
      <c r="I73">
        <f t="shared" ca="1" si="20"/>
        <v>489</v>
      </c>
      <c r="J73">
        <f t="shared" ca="1" si="15"/>
        <v>3.5</v>
      </c>
      <c r="K73" t="str">
        <f t="shared" ca="1" si="16"/>
        <v>Pass</v>
      </c>
      <c r="L73" t="str">
        <f t="shared" ca="1" si="21"/>
        <v>A</v>
      </c>
      <c r="M73">
        <f t="shared" si="17"/>
        <v>2025</v>
      </c>
      <c r="N73">
        <f t="shared" ca="1" si="18"/>
        <v>4</v>
      </c>
      <c r="O73">
        <v>2</v>
      </c>
    </row>
    <row r="74" spans="1:15" x14ac:dyDescent="0.35">
      <c r="A74" t="s">
        <v>165</v>
      </c>
      <c r="B74" t="s">
        <v>166</v>
      </c>
      <c r="C74" t="s">
        <v>17</v>
      </c>
      <c r="D74">
        <f t="shared" ca="1" si="14"/>
        <v>21</v>
      </c>
      <c r="E74" t="s">
        <v>46</v>
      </c>
      <c r="F74" t="s">
        <v>37</v>
      </c>
      <c r="G74">
        <f t="shared" ca="1" si="19"/>
        <v>69</v>
      </c>
      <c r="H74">
        <f>550</f>
        <v>550</v>
      </c>
      <c r="I74">
        <f t="shared" ca="1" si="20"/>
        <v>379</v>
      </c>
      <c r="J74">
        <f t="shared" ca="1" si="15"/>
        <v>2.5</v>
      </c>
      <c r="K74" t="str">
        <f t="shared" ca="1" si="16"/>
        <v>Pass</v>
      </c>
      <c r="L74" t="str">
        <f t="shared" ca="1" si="21"/>
        <v>C</v>
      </c>
      <c r="M74">
        <f t="shared" si="17"/>
        <v>2026</v>
      </c>
      <c r="N74">
        <f t="shared" ca="1" si="18"/>
        <v>2</v>
      </c>
      <c r="O74">
        <v>1</v>
      </c>
    </row>
    <row r="75" spans="1:15" x14ac:dyDescent="0.35">
      <c r="A75" t="s">
        <v>167</v>
      </c>
      <c r="B75" t="s">
        <v>168</v>
      </c>
      <c r="C75" t="s">
        <v>17</v>
      </c>
      <c r="D75">
        <f t="shared" ca="1" si="14"/>
        <v>24</v>
      </c>
      <c r="E75" t="s">
        <v>34</v>
      </c>
      <c r="F75" t="s">
        <v>25</v>
      </c>
      <c r="G75">
        <f t="shared" ca="1" si="19"/>
        <v>73</v>
      </c>
      <c r="H75">
        <f>550</f>
        <v>550</v>
      </c>
      <c r="I75">
        <f t="shared" ca="1" si="20"/>
        <v>399</v>
      </c>
      <c r="J75">
        <f t="shared" ca="1" si="15"/>
        <v>3</v>
      </c>
      <c r="K75" t="str">
        <f t="shared" ca="1" si="16"/>
        <v>Pass</v>
      </c>
      <c r="L75" t="str">
        <f t="shared" ca="1" si="21"/>
        <v>B</v>
      </c>
      <c r="M75">
        <f t="shared" si="17"/>
        <v>2024</v>
      </c>
      <c r="N75">
        <f t="shared" ca="1" si="18"/>
        <v>6</v>
      </c>
      <c r="O75">
        <v>3</v>
      </c>
    </row>
    <row r="76" spans="1:15" x14ac:dyDescent="0.35">
      <c r="A76" t="s">
        <v>169</v>
      </c>
      <c r="B76" t="s">
        <v>170</v>
      </c>
      <c r="C76" t="s">
        <v>12</v>
      </c>
      <c r="D76">
        <f t="shared" ca="1" si="14"/>
        <v>24</v>
      </c>
      <c r="E76" t="s">
        <v>40</v>
      </c>
      <c r="F76" t="s">
        <v>41</v>
      </c>
      <c r="G76">
        <f t="shared" ca="1" si="19"/>
        <v>65</v>
      </c>
      <c r="H76">
        <f>550</f>
        <v>550</v>
      </c>
      <c r="I76">
        <f t="shared" ca="1" si="20"/>
        <v>355</v>
      </c>
      <c r="J76">
        <f t="shared" ca="1" si="15"/>
        <v>2.5</v>
      </c>
      <c r="K76" t="str">
        <f t="shared" ca="1" si="16"/>
        <v>Pass</v>
      </c>
      <c r="L76" t="str">
        <f t="shared" ca="1" si="21"/>
        <v>C</v>
      </c>
      <c r="M76">
        <f t="shared" si="17"/>
        <v>2023</v>
      </c>
      <c r="N76">
        <f t="shared" ca="1" si="18"/>
        <v>7</v>
      </c>
      <c r="O76">
        <v>4</v>
      </c>
    </row>
    <row r="77" spans="1:15" x14ac:dyDescent="0.35">
      <c r="A77" t="s">
        <v>171</v>
      </c>
      <c r="B77" t="s">
        <v>68</v>
      </c>
      <c r="C77" t="s">
        <v>12</v>
      </c>
      <c r="D77">
        <f t="shared" ca="1" si="14"/>
        <v>21</v>
      </c>
      <c r="E77" t="s">
        <v>55</v>
      </c>
      <c r="F77" t="s">
        <v>71</v>
      </c>
      <c r="G77">
        <f t="shared" ca="1" si="19"/>
        <v>99</v>
      </c>
      <c r="H77">
        <f>550</f>
        <v>550</v>
      </c>
      <c r="I77">
        <f t="shared" ca="1" si="20"/>
        <v>545</v>
      </c>
      <c r="J77">
        <f t="shared" ca="1" si="15"/>
        <v>4</v>
      </c>
      <c r="K77" t="str">
        <f t="shared" ca="1" si="16"/>
        <v>Pass</v>
      </c>
      <c r="L77" t="str">
        <f t="shared" ca="1" si="21"/>
        <v>A+</v>
      </c>
      <c r="M77">
        <f t="shared" si="17"/>
        <v>2026</v>
      </c>
      <c r="N77">
        <f t="shared" ca="1" si="18"/>
        <v>1</v>
      </c>
      <c r="O77">
        <v>1</v>
      </c>
    </row>
    <row r="78" spans="1:15" x14ac:dyDescent="0.35">
      <c r="A78" t="s">
        <v>172</v>
      </c>
      <c r="B78" t="s">
        <v>173</v>
      </c>
      <c r="C78" t="s">
        <v>17</v>
      </c>
      <c r="D78">
        <f t="shared" ca="1" si="14"/>
        <v>25</v>
      </c>
      <c r="E78" t="s">
        <v>28</v>
      </c>
      <c r="F78" t="s">
        <v>71</v>
      </c>
      <c r="G78">
        <f t="shared" ca="1" si="19"/>
        <v>57</v>
      </c>
      <c r="H78">
        <f>550</f>
        <v>550</v>
      </c>
      <c r="I78">
        <f t="shared" ca="1" si="20"/>
        <v>313</v>
      </c>
      <c r="J78">
        <f t="shared" ca="1" si="15"/>
        <v>2</v>
      </c>
      <c r="K78" t="str">
        <f t="shared" ca="1" si="16"/>
        <v>Pass</v>
      </c>
      <c r="L78" t="str">
        <f t="shared" ca="1" si="21"/>
        <v>D</v>
      </c>
      <c r="M78">
        <f t="shared" si="17"/>
        <v>2023</v>
      </c>
      <c r="N78">
        <f t="shared" ca="1" si="18"/>
        <v>8</v>
      </c>
      <c r="O78">
        <v>4</v>
      </c>
    </row>
    <row r="79" spans="1:15" x14ac:dyDescent="0.35">
      <c r="A79" t="s">
        <v>174</v>
      </c>
      <c r="B79" t="s">
        <v>175</v>
      </c>
      <c r="C79" t="s">
        <v>17</v>
      </c>
      <c r="D79">
        <f t="shared" ca="1" si="14"/>
        <v>23</v>
      </c>
      <c r="E79" t="s">
        <v>46</v>
      </c>
      <c r="F79" t="s">
        <v>37</v>
      </c>
      <c r="G79">
        <f t="shared" ca="1" si="19"/>
        <v>53</v>
      </c>
      <c r="H79">
        <f>550</f>
        <v>550</v>
      </c>
      <c r="I79">
        <f t="shared" ca="1" si="20"/>
        <v>289</v>
      </c>
      <c r="J79">
        <f t="shared" ca="1" si="15"/>
        <v>2</v>
      </c>
      <c r="K79" t="str">
        <f t="shared" ca="1" si="16"/>
        <v>Pass</v>
      </c>
      <c r="L79" t="str">
        <f t="shared" ca="1" si="21"/>
        <v>D</v>
      </c>
      <c r="M79">
        <f t="shared" si="17"/>
        <v>2025</v>
      </c>
      <c r="N79">
        <f t="shared" ca="1" si="18"/>
        <v>3</v>
      </c>
      <c r="O79">
        <v>2</v>
      </c>
    </row>
    <row r="80" spans="1:15" x14ac:dyDescent="0.35">
      <c r="A80" t="s">
        <v>176</v>
      </c>
      <c r="B80" t="s">
        <v>83</v>
      </c>
      <c r="C80" t="s">
        <v>17</v>
      </c>
      <c r="D80">
        <f t="shared" ca="1" si="14"/>
        <v>24</v>
      </c>
      <c r="E80" t="s">
        <v>40</v>
      </c>
      <c r="F80" t="s">
        <v>22</v>
      </c>
      <c r="G80">
        <f t="shared" ca="1" si="19"/>
        <v>84</v>
      </c>
      <c r="H80">
        <f>550</f>
        <v>550</v>
      </c>
      <c r="I80">
        <f t="shared" ca="1" si="20"/>
        <v>464</v>
      </c>
      <c r="J80">
        <f t="shared" ca="1" si="15"/>
        <v>3.5</v>
      </c>
      <c r="K80" t="str">
        <f t="shared" ca="1" si="16"/>
        <v>Pass</v>
      </c>
      <c r="L80" t="str">
        <f t="shared" ca="1" si="21"/>
        <v>A</v>
      </c>
      <c r="M80">
        <f t="shared" si="17"/>
        <v>2024</v>
      </c>
      <c r="N80">
        <f t="shared" ca="1" si="18"/>
        <v>6</v>
      </c>
      <c r="O80">
        <v>3</v>
      </c>
    </row>
    <row r="81" spans="1:15" x14ac:dyDescent="0.35">
      <c r="A81" t="s">
        <v>177</v>
      </c>
      <c r="B81" t="s">
        <v>178</v>
      </c>
      <c r="C81" t="s">
        <v>17</v>
      </c>
      <c r="D81">
        <f t="shared" ca="1" si="14"/>
        <v>25</v>
      </c>
      <c r="E81" t="s">
        <v>46</v>
      </c>
      <c r="F81" t="s">
        <v>25</v>
      </c>
      <c r="G81">
        <f t="shared" ca="1" si="19"/>
        <v>65</v>
      </c>
      <c r="H81">
        <f>550</f>
        <v>550</v>
      </c>
      <c r="I81">
        <f t="shared" ca="1" si="20"/>
        <v>359</v>
      </c>
      <c r="J81">
        <f t="shared" ca="1" si="15"/>
        <v>2.5</v>
      </c>
      <c r="K81" t="str">
        <f t="shared" ca="1" si="16"/>
        <v>Pass</v>
      </c>
      <c r="L81" t="str">
        <f t="shared" ca="1" si="21"/>
        <v>C</v>
      </c>
      <c r="M81">
        <f t="shared" si="17"/>
        <v>2023</v>
      </c>
      <c r="N81">
        <f t="shared" ca="1" si="18"/>
        <v>7</v>
      </c>
      <c r="O81">
        <v>4</v>
      </c>
    </row>
    <row r="82" spans="1:15" x14ac:dyDescent="0.35">
      <c r="A82" t="s">
        <v>179</v>
      </c>
      <c r="B82" t="s">
        <v>133</v>
      </c>
      <c r="C82" t="s">
        <v>12</v>
      </c>
      <c r="D82">
        <f t="shared" ca="1" si="14"/>
        <v>22</v>
      </c>
      <c r="E82" t="s">
        <v>13</v>
      </c>
      <c r="F82" t="s">
        <v>22</v>
      </c>
      <c r="G82">
        <f t="shared" ca="1" si="19"/>
        <v>70</v>
      </c>
      <c r="H82">
        <f>550</f>
        <v>550</v>
      </c>
      <c r="I82">
        <f t="shared" ca="1" si="20"/>
        <v>384</v>
      </c>
      <c r="J82">
        <f t="shared" ca="1" si="15"/>
        <v>3</v>
      </c>
      <c r="K82" t="str">
        <f t="shared" ca="1" si="16"/>
        <v>Pass</v>
      </c>
      <c r="L82" t="str">
        <f t="shared" ca="1" si="21"/>
        <v>C</v>
      </c>
      <c r="M82">
        <f t="shared" si="17"/>
        <v>2025</v>
      </c>
      <c r="N82">
        <f t="shared" ca="1" si="18"/>
        <v>3</v>
      </c>
      <c r="O82">
        <v>2</v>
      </c>
    </row>
    <row r="83" spans="1:15" x14ac:dyDescent="0.35">
      <c r="A83" t="s">
        <v>180</v>
      </c>
      <c r="B83" t="s">
        <v>139</v>
      </c>
      <c r="C83" t="s">
        <v>17</v>
      </c>
      <c r="D83">
        <f t="shared" ca="1" si="14"/>
        <v>25</v>
      </c>
      <c r="E83" t="s">
        <v>40</v>
      </c>
      <c r="F83" t="s">
        <v>22</v>
      </c>
      <c r="G83">
        <f t="shared" ca="1" si="19"/>
        <v>72</v>
      </c>
      <c r="H83">
        <f>550</f>
        <v>550</v>
      </c>
      <c r="I83">
        <f t="shared" ca="1" si="20"/>
        <v>395</v>
      </c>
      <c r="J83">
        <f t="shared" ca="1" si="15"/>
        <v>3</v>
      </c>
      <c r="K83" t="str">
        <f t="shared" ca="1" si="16"/>
        <v>Pass</v>
      </c>
      <c r="L83" t="str">
        <f t="shared" ca="1" si="21"/>
        <v>B</v>
      </c>
      <c r="M83">
        <f t="shared" si="17"/>
        <v>2023</v>
      </c>
      <c r="N83">
        <f t="shared" ca="1" si="18"/>
        <v>8</v>
      </c>
      <c r="O83">
        <v>4</v>
      </c>
    </row>
    <row r="84" spans="1:15" x14ac:dyDescent="0.35">
      <c r="A84" t="s">
        <v>181</v>
      </c>
      <c r="B84" t="s">
        <v>73</v>
      </c>
      <c r="C84" t="s">
        <v>12</v>
      </c>
      <c r="D84">
        <f t="shared" ca="1" si="14"/>
        <v>24</v>
      </c>
      <c r="E84" t="s">
        <v>40</v>
      </c>
      <c r="F84" t="s">
        <v>60</v>
      </c>
      <c r="G84">
        <f t="shared" ca="1" si="19"/>
        <v>94</v>
      </c>
      <c r="H84">
        <f>550</f>
        <v>550</v>
      </c>
      <c r="I84">
        <f t="shared" ca="1" si="20"/>
        <v>518</v>
      </c>
      <c r="J84">
        <f t="shared" ca="1" si="15"/>
        <v>4</v>
      </c>
      <c r="K84" t="str">
        <f t="shared" ca="1" si="16"/>
        <v>Pass</v>
      </c>
      <c r="L84" t="str">
        <f t="shared" ca="1" si="21"/>
        <v>A+</v>
      </c>
      <c r="M84">
        <f t="shared" si="17"/>
        <v>2024</v>
      </c>
      <c r="N84">
        <f t="shared" ca="1" si="18"/>
        <v>5</v>
      </c>
      <c r="O84">
        <v>3</v>
      </c>
    </row>
    <row r="85" spans="1:15" x14ac:dyDescent="0.35">
      <c r="A85" t="s">
        <v>182</v>
      </c>
      <c r="B85" t="s">
        <v>70</v>
      </c>
      <c r="C85" t="s">
        <v>12</v>
      </c>
      <c r="D85">
        <f t="shared" ca="1" si="14"/>
        <v>25</v>
      </c>
      <c r="E85" t="s">
        <v>55</v>
      </c>
      <c r="F85" t="s">
        <v>60</v>
      </c>
      <c r="G85">
        <f t="shared" ca="1" si="19"/>
        <v>96</v>
      </c>
      <c r="H85">
        <f>550</f>
        <v>550</v>
      </c>
      <c r="I85">
        <f t="shared" ca="1" si="20"/>
        <v>528</v>
      </c>
      <c r="J85">
        <f t="shared" ca="1" si="15"/>
        <v>4</v>
      </c>
      <c r="K85" t="str">
        <f t="shared" ca="1" si="16"/>
        <v>Pass</v>
      </c>
      <c r="L85" t="str">
        <f t="shared" ca="1" si="21"/>
        <v>A+</v>
      </c>
      <c r="M85">
        <f t="shared" si="17"/>
        <v>2023</v>
      </c>
      <c r="N85">
        <f t="shared" ca="1" si="18"/>
        <v>8</v>
      </c>
      <c r="O85">
        <v>4</v>
      </c>
    </row>
    <row r="86" spans="1:15" x14ac:dyDescent="0.35">
      <c r="A86" t="s">
        <v>183</v>
      </c>
      <c r="B86" t="s">
        <v>184</v>
      </c>
      <c r="C86" t="s">
        <v>17</v>
      </c>
      <c r="D86">
        <f t="shared" ca="1" si="14"/>
        <v>24</v>
      </c>
      <c r="E86" t="s">
        <v>55</v>
      </c>
      <c r="F86" t="s">
        <v>22</v>
      </c>
      <c r="G86">
        <f t="shared" ca="1" si="19"/>
        <v>60</v>
      </c>
      <c r="H86">
        <f>550</f>
        <v>550</v>
      </c>
      <c r="I86">
        <f t="shared" ca="1" si="20"/>
        <v>331</v>
      </c>
      <c r="J86">
        <f t="shared" ca="1" si="15"/>
        <v>2.5</v>
      </c>
      <c r="K86" t="str">
        <f t="shared" ca="1" si="16"/>
        <v>Pass</v>
      </c>
      <c r="L86" t="str">
        <f t="shared" ca="1" si="21"/>
        <v>C</v>
      </c>
      <c r="M86">
        <f t="shared" si="17"/>
        <v>2024</v>
      </c>
      <c r="N86">
        <f t="shared" ca="1" si="18"/>
        <v>6</v>
      </c>
      <c r="O86">
        <v>3</v>
      </c>
    </row>
    <row r="87" spans="1:15" x14ac:dyDescent="0.35">
      <c r="A87" t="s">
        <v>185</v>
      </c>
      <c r="B87" t="s">
        <v>186</v>
      </c>
      <c r="C87" t="s">
        <v>17</v>
      </c>
      <c r="D87">
        <f t="shared" ca="1" si="14"/>
        <v>22</v>
      </c>
      <c r="E87" t="s">
        <v>34</v>
      </c>
      <c r="F87" t="s">
        <v>60</v>
      </c>
      <c r="G87">
        <f t="shared" ca="1" si="19"/>
        <v>59</v>
      </c>
      <c r="H87">
        <f>550</f>
        <v>550</v>
      </c>
      <c r="I87">
        <f t="shared" ca="1" si="20"/>
        <v>322</v>
      </c>
      <c r="J87">
        <f t="shared" ca="1" si="15"/>
        <v>2</v>
      </c>
      <c r="K87" t="str">
        <f t="shared" ca="1" si="16"/>
        <v>Pass</v>
      </c>
      <c r="L87" t="str">
        <f t="shared" ca="1" si="21"/>
        <v>D</v>
      </c>
      <c r="M87">
        <f t="shared" si="17"/>
        <v>2026</v>
      </c>
      <c r="N87">
        <f t="shared" ca="1" si="18"/>
        <v>2</v>
      </c>
      <c r="O87">
        <v>1</v>
      </c>
    </row>
    <row r="88" spans="1:15" x14ac:dyDescent="0.35">
      <c r="A88" t="s">
        <v>187</v>
      </c>
      <c r="B88" t="s">
        <v>144</v>
      </c>
      <c r="C88" t="s">
        <v>12</v>
      </c>
      <c r="D88">
        <f t="shared" ca="1" si="14"/>
        <v>23</v>
      </c>
      <c r="E88" t="s">
        <v>40</v>
      </c>
      <c r="F88" t="s">
        <v>60</v>
      </c>
      <c r="G88">
        <f t="shared" ca="1" si="19"/>
        <v>86</v>
      </c>
      <c r="H88">
        <f>550</f>
        <v>550</v>
      </c>
      <c r="I88">
        <f t="shared" ca="1" si="20"/>
        <v>475</v>
      </c>
      <c r="J88">
        <f t="shared" ca="1" si="15"/>
        <v>3.5</v>
      </c>
      <c r="K88" t="str">
        <f t="shared" ca="1" si="16"/>
        <v>Pass</v>
      </c>
      <c r="L88" t="str">
        <f t="shared" ca="1" si="21"/>
        <v>A</v>
      </c>
      <c r="M88">
        <f t="shared" si="17"/>
        <v>2025</v>
      </c>
      <c r="N88">
        <f t="shared" ca="1" si="18"/>
        <v>3</v>
      </c>
      <c r="O88">
        <v>2</v>
      </c>
    </row>
    <row r="89" spans="1:15" x14ac:dyDescent="0.35">
      <c r="A89" t="s">
        <v>188</v>
      </c>
      <c r="B89" t="s">
        <v>189</v>
      </c>
      <c r="C89" t="s">
        <v>12</v>
      </c>
      <c r="D89">
        <f t="shared" ca="1" si="14"/>
        <v>22</v>
      </c>
      <c r="E89" t="s">
        <v>21</v>
      </c>
      <c r="F89" t="s">
        <v>25</v>
      </c>
      <c r="G89">
        <f t="shared" ca="1" si="19"/>
        <v>91</v>
      </c>
      <c r="H89">
        <f>550</f>
        <v>550</v>
      </c>
      <c r="I89">
        <f t="shared" ca="1" si="20"/>
        <v>503</v>
      </c>
      <c r="J89">
        <f t="shared" ca="1" si="15"/>
        <v>4</v>
      </c>
      <c r="K89" t="str">
        <f t="shared" ca="1" si="16"/>
        <v>Pass</v>
      </c>
      <c r="L89" t="str">
        <f t="shared" ca="1" si="21"/>
        <v>A+</v>
      </c>
      <c r="M89">
        <f t="shared" si="17"/>
        <v>2025</v>
      </c>
      <c r="N89">
        <f t="shared" ca="1" si="18"/>
        <v>4</v>
      </c>
      <c r="O89">
        <v>2</v>
      </c>
    </row>
    <row r="90" spans="1:15" x14ac:dyDescent="0.35">
      <c r="A90" t="s">
        <v>190</v>
      </c>
      <c r="B90" t="s">
        <v>184</v>
      </c>
      <c r="C90" t="s">
        <v>17</v>
      </c>
      <c r="D90">
        <f t="shared" ca="1" si="14"/>
        <v>25</v>
      </c>
      <c r="E90" t="s">
        <v>34</v>
      </c>
      <c r="F90" t="s">
        <v>71</v>
      </c>
      <c r="G90">
        <f t="shared" ca="1" si="19"/>
        <v>81</v>
      </c>
      <c r="H90">
        <f>550</f>
        <v>550</v>
      </c>
      <c r="I90">
        <f t="shared" ca="1" si="20"/>
        <v>443</v>
      </c>
      <c r="J90">
        <f t="shared" ca="1" si="15"/>
        <v>3.5</v>
      </c>
      <c r="K90" t="str">
        <f t="shared" ca="1" si="16"/>
        <v>Pass</v>
      </c>
      <c r="L90" t="str">
        <f t="shared" ca="1" si="21"/>
        <v>A</v>
      </c>
      <c r="M90">
        <f t="shared" si="17"/>
        <v>2023</v>
      </c>
      <c r="N90">
        <f t="shared" ca="1" si="18"/>
        <v>8</v>
      </c>
      <c r="O90">
        <v>4</v>
      </c>
    </row>
    <row r="91" spans="1:15" x14ac:dyDescent="0.35">
      <c r="A91" t="s">
        <v>191</v>
      </c>
      <c r="B91" t="s">
        <v>192</v>
      </c>
      <c r="C91" t="s">
        <v>17</v>
      </c>
      <c r="D91">
        <f t="shared" ca="1" si="14"/>
        <v>25</v>
      </c>
      <c r="E91" t="s">
        <v>31</v>
      </c>
      <c r="F91" t="s">
        <v>22</v>
      </c>
      <c r="G91">
        <f t="shared" ca="1" si="19"/>
        <v>73</v>
      </c>
      <c r="H91">
        <f>550</f>
        <v>550</v>
      </c>
      <c r="I91">
        <f t="shared" ca="1" si="20"/>
        <v>401</v>
      </c>
      <c r="J91">
        <f t="shared" ca="1" si="15"/>
        <v>3</v>
      </c>
      <c r="K91" t="str">
        <f t="shared" ca="1" si="16"/>
        <v>Pass</v>
      </c>
      <c r="L91" t="str">
        <f t="shared" ca="1" si="21"/>
        <v>B</v>
      </c>
      <c r="M91">
        <f t="shared" si="17"/>
        <v>2023</v>
      </c>
      <c r="N91">
        <f t="shared" ca="1" si="18"/>
        <v>8</v>
      </c>
      <c r="O91">
        <v>4</v>
      </c>
    </row>
    <row r="92" spans="1:15" x14ac:dyDescent="0.35">
      <c r="A92" t="s">
        <v>193</v>
      </c>
      <c r="B92" t="s">
        <v>194</v>
      </c>
      <c r="C92" t="s">
        <v>17</v>
      </c>
      <c r="D92">
        <f t="shared" ca="1" si="14"/>
        <v>22</v>
      </c>
      <c r="E92" t="s">
        <v>31</v>
      </c>
      <c r="F92" t="s">
        <v>37</v>
      </c>
      <c r="G92">
        <f t="shared" ca="1" si="19"/>
        <v>78</v>
      </c>
      <c r="H92">
        <f>550</f>
        <v>550</v>
      </c>
      <c r="I92">
        <f t="shared" ca="1" si="20"/>
        <v>430</v>
      </c>
      <c r="J92">
        <f t="shared" ca="1" si="15"/>
        <v>3</v>
      </c>
      <c r="K92" t="str">
        <f t="shared" ca="1" si="16"/>
        <v>Pass</v>
      </c>
      <c r="L92" t="str">
        <f t="shared" ca="1" si="21"/>
        <v>B</v>
      </c>
      <c r="M92">
        <f t="shared" si="17"/>
        <v>2026</v>
      </c>
      <c r="N92">
        <f t="shared" ca="1" si="18"/>
        <v>1</v>
      </c>
      <c r="O92">
        <v>1</v>
      </c>
    </row>
    <row r="93" spans="1:15" x14ac:dyDescent="0.35">
      <c r="A93" t="s">
        <v>195</v>
      </c>
      <c r="B93" t="s">
        <v>196</v>
      </c>
      <c r="C93" t="s">
        <v>17</v>
      </c>
      <c r="D93">
        <f t="shared" ca="1" si="14"/>
        <v>21</v>
      </c>
      <c r="E93" t="s">
        <v>55</v>
      </c>
      <c r="F93" t="s">
        <v>22</v>
      </c>
      <c r="G93">
        <f t="shared" ca="1" si="19"/>
        <v>77</v>
      </c>
      <c r="H93">
        <f>550</f>
        <v>550</v>
      </c>
      <c r="I93">
        <f t="shared" ca="1" si="20"/>
        <v>421</v>
      </c>
      <c r="J93">
        <f t="shared" ca="1" si="15"/>
        <v>3</v>
      </c>
      <c r="K93" t="str">
        <f t="shared" ca="1" si="16"/>
        <v>Pass</v>
      </c>
      <c r="L93" t="str">
        <f t="shared" ca="1" si="21"/>
        <v>B</v>
      </c>
      <c r="M93">
        <f t="shared" si="17"/>
        <v>2026</v>
      </c>
      <c r="N93">
        <f t="shared" ca="1" si="18"/>
        <v>1</v>
      </c>
      <c r="O93">
        <v>1</v>
      </c>
    </row>
    <row r="94" spans="1:15" x14ac:dyDescent="0.35">
      <c r="A94" t="s">
        <v>197</v>
      </c>
      <c r="B94" t="s">
        <v>198</v>
      </c>
      <c r="C94" t="s">
        <v>12</v>
      </c>
      <c r="D94">
        <f t="shared" ca="1" si="14"/>
        <v>22</v>
      </c>
      <c r="E94" t="s">
        <v>28</v>
      </c>
      <c r="F94" t="s">
        <v>37</v>
      </c>
      <c r="G94">
        <f t="shared" ca="1" si="19"/>
        <v>85</v>
      </c>
      <c r="H94">
        <f>550</f>
        <v>550</v>
      </c>
      <c r="I94">
        <f t="shared" ca="1" si="20"/>
        <v>470</v>
      </c>
      <c r="J94">
        <f t="shared" ca="1" si="15"/>
        <v>3.5</v>
      </c>
      <c r="K94" t="str">
        <f t="shared" ca="1" si="16"/>
        <v>Pass</v>
      </c>
      <c r="L94" t="str">
        <f t="shared" ca="1" si="21"/>
        <v>A</v>
      </c>
      <c r="M94">
        <f t="shared" si="17"/>
        <v>2025</v>
      </c>
      <c r="N94">
        <f t="shared" ca="1" si="18"/>
        <v>4</v>
      </c>
      <c r="O94">
        <v>2</v>
      </c>
    </row>
    <row r="95" spans="1:15" x14ac:dyDescent="0.35">
      <c r="A95" t="s">
        <v>199</v>
      </c>
      <c r="B95" t="s">
        <v>200</v>
      </c>
      <c r="C95" t="s">
        <v>12</v>
      </c>
      <c r="D95">
        <f t="shared" ca="1" si="14"/>
        <v>21</v>
      </c>
      <c r="E95" t="s">
        <v>21</v>
      </c>
      <c r="F95" t="s">
        <v>18</v>
      </c>
      <c r="G95">
        <f t="shared" ca="1" si="19"/>
        <v>57</v>
      </c>
      <c r="H95">
        <f>550</f>
        <v>550</v>
      </c>
      <c r="I95">
        <f t="shared" ca="1" si="20"/>
        <v>316</v>
      </c>
      <c r="J95">
        <f t="shared" ca="1" si="15"/>
        <v>2</v>
      </c>
      <c r="K95" t="str">
        <f t="shared" ca="1" si="16"/>
        <v>Pass</v>
      </c>
      <c r="L95" t="str">
        <f t="shared" ca="1" si="21"/>
        <v>D</v>
      </c>
      <c r="M95">
        <f t="shared" si="17"/>
        <v>2026</v>
      </c>
      <c r="N95">
        <f t="shared" ca="1" si="18"/>
        <v>2</v>
      </c>
      <c r="O95">
        <v>1</v>
      </c>
    </row>
    <row r="96" spans="1:15" x14ac:dyDescent="0.35">
      <c r="A96" t="s">
        <v>201</v>
      </c>
      <c r="B96" t="s">
        <v>158</v>
      </c>
      <c r="C96" t="s">
        <v>12</v>
      </c>
      <c r="D96">
        <f t="shared" ca="1" si="14"/>
        <v>22</v>
      </c>
      <c r="E96" t="s">
        <v>55</v>
      </c>
      <c r="F96" t="s">
        <v>22</v>
      </c>
      <c r="G96">
        <f t="shared" ca="1" si="19"/>
        <v>52</v>
      </c>
      <c r="H96">
        <f>550</f>
        <v>550</v>
      </c>
      <c r="I96">
        <f t="shared" ca="1" si="20"/>
        <v>287</v>
      </c>
      <c r="J96">
        <f t="shared" ca="1" si="15"/>
        <v>2</v>
      </c>
      <c r="K96" t="str">
        <f t="shared" ca="1" si="16"/>
        <v>Pass</v>
      </c>
      <c r="L96" t="str">
        <f t="shared" ca="1" si="21"/>
        <v>D</v>
      </c>
      <c r="M96">
        <f t="shared" si="17"/>
        <v>2025</v>
      </c>
      <c r="N96">
        <f t="shared" ca="1" si="18"/>
        <v>3</v>
      </c>
      <c r="O96">
        <v>2</v>
      </c>
    </row>
    <row r="97" spans="1:15" x14ac:dyDescent="0.35">
      <c r="A97" t="s">
        <v>202</v>
      </c>
      <c r="B97" t="s">
        <v>196</v>
      </c>
      <c r="C97" t="s">
        <v>17</v>
      </c>
      <c r="D97">
        <f t="shared" ca="1" si="14"/>
        <v>23</v>
      </c>
      <c r="E97" t="s">
        <v>31</v>
      </c>
      <c r="F97" t="s">
        <v>37</v>
      </c>
      <c r="G97">
        <f t="shared" ca="1" si="19"/>
        <v>95</v>
      </c>
      <c r="H97">
        <f>550</f>
        <v>550</v>
      </c>
      <c r="I97">
        <f t="shared" ca="1" si="20"/>
        <v>524</v>
      </c>
      <c r="J97">
        <f t="shared" ca="1" si="15"/>
        <v>4</v>
      </c>
      <c r="K97" t="str">
        <f t="shared" ca="1" si="16"/>
        <v>Pass</v>
      </c>
      <c r="L97" t="str">
        <f t="shared" ca="1" si="21"/>
        <v>A+</v>
      </c>
      <c r="M97">
        <f t="shared" si="17"/>
        <v>2025</v>
      </c>
      <c r="N97">
        <f t="shared" ca="1" si="18"/>
        <v>4</v>
      </c>
      <c r="O97">
        <v>2</v>
      </c>
    </row>
    <row r="98" spans="1:15" x14ac:dyDescent="0.35">
      <c r="A98" t="s">
        <v>203</v>
      </c>
      <c r="B98" t="s">
        <v>204</v>
      </c>
      <c r="C98" t="s">
        <v>12</v>
      </c>
      <c r="D98">
        <f t="shared" ref="D98:D129" ca="1" si="22">18+O98+RANDBETWEEN(2,3)</f>
        <v>22</v>
      </c>
      <c r="E98" t="s">
        <v>31</v>
      </c>
      <c r="F98" t="s">
        <v>25</v>
      </c>
      <c r="G98">
        <f t="shared" ca="1" si="19"/>
        <v>75</v>
      </c>
      <c r="H98">
        <f>550</f>
        <v>550</v>
      </c>
      <c r="I98">
        <f t="shared" ca="1" si="20"/>
        <v>412</v>
      </c>
      <c r="J98">
        <f t="shared" ref="J98:J129" ca="1" si="23">IF(I98&gt;=495,4,IF(I98&gt;=440,3.5,IF(I98&gt;=380,3,IF(I98&gt;=330,2.5,IF(I98&gt;=260,2,1)))))</f>
        <v>3</v>
      </c>
      <c r="K98" t="str">
        <f t="shared" ref="K98:K129" ca="1" si="24">IF(I98&gt;=250,"Pass", "Fail")</f>
        <v>Pass</v>
      </c>
      <c r="L98" t="str">
        <f t="shared" ca="1" si="21"/>
        <v>B</v>
      </c>
      <c r="M98">
        <f t="shared" ref="M98:M129" si="25">2026-O98+1</f>
        <v>2025</v>
      </c>
      <c r="N98">
        <f t="shared" ref="N98:N129" ca="1" si="26">RANDBETWEEN((O98*2)-1,O98*2)</f>
        <v>3</v>
      </c>
      <c r="O98">
        <v>2</v>
      </c>
    </row>
    <row r="99" spans="1:15" x14ac:dyDescent="0.35">
      <c r="A99" t="s">
        <v>205</v>
      </c>
      <c r="B99" t="s">
        <v>206</v>
      </c>
      <c r="C99" t="s">
        <v>17</v>
      </c>
      <c r="D99">
        <f t="shared" ca="1" si="22"/>
        <v>25</v>
      </c>
      <c r="E99" t="s">
        <v>28</v>
      </c>
      <c r="F99" t="s">
        <v>71</v>
      </c>
      <c r="G99">
        <f t="shared" ca="1" si="19"/>
        <v>91</v>
      </c>
      <c r="H99">
        <f>550</f>
        <v>550</v>
      </c>
      <c r="I99">
        <f t="shared" ca="1" si="20"/>
        <v>498</v>
      </c>
      <c r="J99">
        <f t="shared" ca="1" si="23"/>
        <v>4</v>
      </c>
      <c r="K99" t="str">
        <f t="shared" ca="1" si="24"/>
        <v>Pass</v>
      </c>
      <c r="L99" t="str">
        <f t="shared" ca="1" si="21"/>
        <v>A+</v>
      </c>
      <c r="M99">
        <f t="shared" si="25"/>
        <v>2023</v>
      </c>
      <c r="N99">
        <f t="shared" ca="1" si="26"/>
        <v>8</v>
      </c>
      <c r="O99">
        <v>4</v>
      </c>
    </row>
    <row r="100" spans="1:15" x14ac:dyDescent="0.35">
      <c r="A100" t="s">
        <v>207</v>
      </c>
      <c r="B100" t="s">
        <v>152</v>
      </c>
      <c r="C100" t="s">
        <v>12</v>
      </c>
      <c r="D100">
        <f t="shared" ca="1" si="22"/>
        <v>22</v>
      </c>
      <c r="E100" t="s">
        <v>13</v>
      </c>
      <c r="F100" t="s">
        <v>14</v>
      </c>
      <c r="G100">
        <f t="shared" ca="1" si="19"/>
        <v>86</v>
      </c>
      <c r="H100">
        <f>550</f>
        <v>550</v>
      </c>
      <c r="I100">
        <f t="shared" ca="1" si="20"/>
        <v>471</v>
      </c>
      <c r="J100">
        <f t="shared" ca="1" si="23"/>
        <v>3.5</v>
      </c>
      <c r="K100" t="str">
        <f t="shared" ca="1" si="24"/>
        <v>Pass</v>
      </c>
      <c r="L100" t="str">
        <f t="shared" ca="1" si="21"/>
        <v>A</v>
      </c>
      <c r="M100">
        <f t="shared" si="25"/>
        <v>2025</v>
      </c>
      <c r="N100">
        <f t="shared" ca="1" si="26"/>
        <v>4</v>
      </c>
      <c r="O100">
        <v>2</v>
      </c>
    </row>
    <row r="101" spans="1:15" x14ac:dyDescent="0.35">
      <c r="A101" t="s">
        <v>208</v>
      </c>
      <c r="B101" t="s">
        <v>209</v>
      </c>
      <c r="C101" t="s">
        <v>17</v>
      </c>
      <c r="D101">
        <f t="shared" ca="1" si="22"/>
        <v>25</v>
      </c>
      <c r="E101" t="s">
        <v>13</v>
      </c>
      <c r="F101" t="s">
        <v>37</v>
      </c>
      <c r="G101">
        <f t="shared" ca="1" si="19"/>
        <v>85</v>
      </c>
      <c r="H101">
        <f>550</f>
        <v>550</v>
      </c>
      <c r="I101">
        <f t="shared" ca="1" si="20"/>
        <v>467</v>
      </c>
      <c r="J101">
        <f t="shared" ca="1" si="23"/>
        <v>3.5</v>
      </c>
      <c r="K101" t="str">
        <f t="shared" ca="1" si="24"/>
        <v>Pass</v>
      </c>
      <c r="L101" t="str">
        <f t="shared" ca="1" si="21"/>
        <v>A</v>
      </c>
      <c r="M101">
        <f t="shared" si="25"/>
        <v>2023</v>
      </c>
      <c r="N101">
        <f t="shared" ca="1" si="26"/>
        <v>8</v>
      </c>
      <c r="O101">
        <v>4</v>
      </c>
    </row>
    <row r="102" spans="1:15" x14ac:dyDescent="0.35">
      <c r="A102" t="s">
        <v>210</v>
      </c>
      <c r="B102" t="s">
        <v>211</v>
      </c>
      <c r="C102" t="s">
        <v>17</v>
      </c>
      <c r="D102">
        <f t="shared" ca="1" si="22"/>
        <v>23</v>
      </c>
      <c r="E102" t="s">
        <v>13</v>
      </c>
      <c r="F102" t="s">
        <v>41</v>
      </c>
      <c r="G102">
        <f t="shared" si="19"/>
        <v>42</v>
      </c>
      <c r="H102">
        <f>550</f>
        <v>550</v>
      </c>
      <c r="I102">
        <v>230</v>
      </c>
      <c r="J102">
        <f t="shared" si="23"/>
        <v>1</v>
      </c>
      <c r="K102" t="str">
        <f t="shared" si="24"/>
        <v>Fail</v>
      </c>
      <c r="L102" t="str">
        <f t="shared" si="21"/>
        <v>F</v>
      </c>
      <c r="M102">
        <f t="shared" si="25"/>
        <v>2024</v>
      </c>
      <c r="N102">
        <f t="shared" ca="1" si="26"/>
        <v>6</v>
      </c>
      <c r="O102">
        <v>3</v>
      </c>
    </row>
    <row r="103" spans="1:15" x14ac:dyDescent="0.35">
      <c r="A103" t="s">
        <v>212</v>
      </c>
      <c r="B103" t="s">
        <v>20</v>
      </c>
      <c r="C103" t="s">
        <v>12</v>
      </c>
      <c r="D103">
        <f t="shared" ca="1" si="22"/>
        <v>23</v>
      </c>
      <c r="E103" t="s">
        <v>46</v>
      </c>
      <c r="F103" t="s">
        <v>25</v>
      </c>
      <c r="G103">
        <f t="shared" ca="1" si="19"/>
        <v>97</v>
      </c>
      <c r="H103">
        <f>550</f>
        <v>550</v>
      </c>
      <c r="I103">
        <f t="shared" ca="1" si="20"/>
        <v>533</v>
      </c>
      <c r="J103">
        <f t="shared" ca="1" si="23"/>
        <v>4</v>
      </c>
      <c r="K103" t="str">
        <f t="shared" ca="1" si="24"/>
        <v>Pass</v>
      </c>
      <c r="L103" t="str">
        <f t="shared" ca="1" si="21"/>
        <v>A+</v>
      </c>
      <c r="M103">
        <f t="shared" si="25"/>
        <v>2024</v>
      </c>
      <c r="N103">
        <f t="shared" ca="1" si="26"/>
        <v>5</v>
      </c>
      <c r="O103">
        <v>3</v>
      </c>
    </row>
    <row r="104" spans="1:15" x14ac:dyDescent="0.35">
      <c r="A104" t="s">
        <v>213</v>
      </c>
      <c r="B104" t="s">
        <v>129</v>
      </c>
      <c r="C104" t="s">
        <v>17</v>
      </c>
      <c r="D104">
        <f t="shared" ca="1" si="22"/>
        <v>21</v>
      </c>
      <c r="E104" t="s">
        <v>55</v>
      </c>
      <c r="F104" t="s">
        <v>25</v>
      </c>
      <c r="G104">
        <f t="shared" ca="1" si="19"/>
        <v>82</v>
      </c>
      <c r="H104">
        <f>550</f>
        <v>550</v>
      </c>
      <c r="I104">
        <f t="shared" ca="1" si="20"/>
        <v>451</v>
      </c>
      <c r="J104">
        <f t="shared" ca="1" si="23"/>
        <v>3.5</v>
      </c>
      <c r="K104" t="str">
        <f t="shared" ca="1" si="24"/>
        <v>Pass</v>
      </c>
      <c r="L104" t="str">
        <f t="shared" ca="1" si="21"/>
        <v>A</v>
      </c>
      <c r="M104">
        <f t="shared" si="25"/>
        <v>2026</v>
      </c>
      <c r="N104">
        <f t="shared" ca="1" si="26"/>
        <v>2</v>
      </c>
      <c r="O104">
        <v>1</v>
      </c>
    </row>
    <row r="105" spans="1:15" x14ac:dyDescent="0.35">
      <c r="A105" t="s">
        <v>214</v>
      </c>
      <c r="B105" t="s">
        <v>164</v>
      </c>
      <c r="C105" t="s">
        <v>17</v>
      </c>
      <c r="D105">
        <f t="shared" ca="1" si="22"/>
        <v>23</v>
      </c>
      <c r="E105" t="s">
        <v>28</v>
      </c>
      <c r="F105" t="s">
        <v>18</v>
      </c>
      <c r="G105">
        <f t="shared" ca="1" si="19"/>
        <v>77</v>
      </c>
      <c r="H105">
        <f>550</f>
        <v>550</v>
      </c>
      <c r="I105">
        <f t="shared" ca="1" si="20"/>
        <v>425</v>
      </c>
      <c r="J105">
        <f t="shared" ca="1" si="23"/>
        <v>3</v>
      </c>
      <c r="K105" t="str">
        <f t="shared" ca="1" si="24"/>
        <v>Pass</v>
      </c>
      <c r="L105" t="str">
        <f t="shared" ca="1" si="21"/>
        <v>B</v>
      </c>
      <c r="M105">
        <f t="shared" si="25"/>
        <v>2024</v>
      </c>
      <c r="N105">
        <f t="shared" ca="1" si="26"/>
        <v>6</v>
      </c>
      <c r="O105">
        <v>3</v>
      </c>
    </row>
    <row r="106" spans="1:15" x14ac:dyDescent="0.35">
      <c r="A106" t="s">
        <v>215</v>
      </c>
      <c r="B106" t="s">
        <v>216</v>
      </c>
      <c r="C106" t="s">
        <v>17</v>
      </c>
      <c r="D106">
        <f t="shared" ca="1" si="22"/>
        <v>24</v>
      </c>
      <c r="E106" t="s">
        <v>28</v>
      </c>
      <c r="F106" t="s">
        <v>60</v>
      </c>
      <c r="G106">
        <f t="shared" ca="1" si="19"/>
        <v>69</v>
      </c>
      <c r="H106">
        <f>550</f>
        <v>550</v>
      </c>
      <c r="I106">
        <f t="shared" ca="1" si="20"/>
        <v>380</v>
      </c>
      <c r="J106">
        <f t="shared" ca="1" si="23"/>
        <v>3</v>
      </c>
      <c r="K106" t="str">
        <f t="shared" ca="1" si="24"/>
        <v>Pass</v>
      </c>
      <c r="L106" t="str">
        <f t="shared" ca="1" si="21"/>
        <v>C</v>
      </c>
      <c r="M106">
        <f t="shared" si="25"/>
        <v>2023</v>
      </c>
      <c r="N106">
        <f t="shared" ca="1" si="26"/>
        <v>8</v>
      </c>
      <c r="O106">
        <v>4</v>
      </c>
    </row>
    <row r="107" spans="1:15" x14ac:dyDescent="0.35">
      <c r="A107" t="s">
        <v>217</v>
      </c>
      <c r="B107" t="s">
        <v>218</v>
      </c>
      <c r="C107" t="s">
        <v>12</v>
      </c>
      <c r="D107">
        <f t="shared" ca="1" si="22"/>
        <v>22</v>
      </c>
      <c r="E107" t="s">
        <v>31</v>
      </c>
      <c r="F107" t="s">
        <v>25</v>
      </c>
      <c r="G107">
        <f t="shared" ca="1" si="19"/>
        <v>98</v>
      </c>
      <c r="H107">
        <f>550</f>
        <v>550</v>
      </c>
      <c r="I107">
        <f t="shared" ca="1" si="20"/>
        <v>538</v>
      </c>
      <c r="J107">
        <f t="shared" ca="1" si="23"/>
        <v>4</v>
      </c>
      <c r="K107" t="str">
        <f t="shared" ca="1" si="24"/>
        <v>Pass</v>
      </c>
      <c r="L107" t="str">
        <f t="shared" ca="1" si="21"/>
        <v>A+</v>
      </c>
      <c r="M107">
        <f t="shared" si="25"/>
        <v>2026</v>
      </c>
      <c r="N107">
        <f t="shared" ca="1" si="26"/>
        <v>2</v>
      </c>
      <c r="O107">
        <v>1</v>
      </c>
    </row>
    <row r="108" spans="1:15" x14ac:dyDescent="0.35">
      <c r="A108" t="s">
        <v>219</v>
      </c>
      <c r="B108" t="s">
        <v>220</v>
      </c>
      <c r="C108" t="s">
        <v>17</v>
      </c>
      <c r="D108">
        <f t="shared" ca="1" si="22"/>
        <v>22</v>
      </c>
      <c r="E108" t="s">
        <v>34</v>
      </c>
      <c r="F108" t="s">
        <v>60</v>
      </c>
      <c r="G108">
        <f t="shared" ca="1" si="19"/>
        <v>62</v>
      </c>
      <c r="H108">
        <f>550</f>
        <v>550</v>
      </c>
      <c r="I108">
        <f t="shared" ca="1" si="20"/>
        <v>340</v>
      </c>
      <c r="J108">
        <f t="shared" ca="1" si="23"/>
        <v>2.5</v>
      </c>
      <c r="K108" t="str">
        <f t="shared" ca="1" si="24"/>
        <v>Pass</v>
      </c>
      <c r="L108" t="str">
        <f t="shared" ca="1" si="21"/>
        <v>C</v>
      </c>
      <c r="M108">
        <f t="shared" si="25"/>
        <v>2025</v>
      </c>
      <c r="N108">
        <f t="shared" ca="1" si="26"/>
        <v>3</v>
      </c>
      <c r="O108">
        <v>2</v>
      </c>
    </row>
    <row r="109" spans="1:15" x14ac:dyDescent="0.35">
      <c r="A109" t="s">
        <v>221</v>
      </c>
      <c r="B109" t="s">
        <v>222</v>
      </c>
      <c r="C109" t="s">
        <v>17</v>
      </c>
      <c r="D109">
        <f t="shared" ca="1" si="22"/>
        <v>22</v>
      </c>
      <c r="E109" t="s">
        <v>55</v>
      </c>
      <c r="F109" t="s">
        <v>41</v>
      </c>
      <c r="G109">
        <f t="shared" ca="1" si="19"/>
        <v>63</v>
      </c>
      <c r="H109">
        <f>550</f>
        <v>550</v>
      </c>
      <c r="I109">
        <f t="shared" ca="1" si="20"/>
        <v>347</v>
      </c>
      <c r="J109">
        <f t="shared" ca="1" si="23"/>
        <v>2.5</v>
      </c>
      <c r="K109" t="str">
        <f t="shared" ca="1" si="24"/>
        <v>Pass</v>
      </c>
      <c r="L109" t="str">
        <f t="shared" ca="1" si="21"/>
        <v>C</v>
      </c>
      <c r="M109">
        <f t="shared" si="25"/>
        <v>2026</v>
      </c>
      <c r="N109">
        <f t="shared" ca="1" si="26"/>
        <v>1</v>
      </c>
      <c r="O109">
        <v>1</v>
      </c>
    </row>
    <row r="110" spans="1:15" x14ac:dyDescent="0.35">
      <c r="A110" t="s">
        <v>223</v>
      </c>
      <c r="B110" t="s">
        <v>170</v>
      </c>
      <c r="C110" t="s">
        <v>12</v>
      </c>
      <c r="D110">
        <f t="shared" ca="1" si="22"/>
        <v>24</v>
      </c>
      <c r="E110" t="s">
        <v>13</v>
      </c>
      <c r="F110" t="s">
        <v>22</v>
      </c>
      <c r="G110">
        <f t="shared" ca="1" si="19"/>
        <v>75</v>
      </c>
      <c r="H110">
        <f>550</f>
        <v>550</v>
      </c>
      <c r="I110">
        <f t="shared" ca="1" si="20"/>
        <v>415</v>
      </c>
      <c r="J110">
        <f t="shared" ca="1" si="23"/>
        <v>3</v>
      </c>
      <c r="K110" t="str">
        <f t="shared" ca="1" si="24"/>
        <v>Pass</v>
      </c>
      <c r="L110" t="str">
        <f t="shared" ca="1" si="21"/>
        <v>B</v>
      </c>
      <c r="M110">
        <f t="shared" si="25"/>
        <v>2023</v>
      </c>
      <c r="N110">
        <f t="shared" ca="1" si="26"/>
        <v>7</v>
      </c>
      <c r="O110">
        <v>4</v>
      </c>
    </row>
    <row r="111" spans="1:15" x14ac:dyDescent="0.35">
      <c r="A111" t="s">
        <v>224</v>
      </c>
      <c r="B111" t="s">
        <v>52</v>
      </c>
      <c r="C111" t="s">
        <v>17</v>
      </c>
      <c r="D111">
        <f t="shared" ca="1" si="22"/>
        <v>23</v>
      </c>
      <c r="E111" t="s">
        <v>13</v>
      </c>
      <c r="F111" t="s">
        <v>60</v>
      </c>
      <c r="G111">
        <f t="shared" si="19"/>
        <v>45</v>
      </c>
      <c r="H111">
        <f>550</f>
        <v>550</v>
      </c>
      <c r="I111">
        <v>249</v>
      </c>
      <c r="J111">
        <f t="shared" si="23"/>
        <v>1</v>
      </c>
      <c r="K111" t="str">
        <f t="shared" si="24"/>
        <v>Fail</v>
      </c>
      <c r="L111" t="str">
        <f t="shared" si="21"/>
        <v>F</v>
      </c>
      <c r="M111">
        <f t="shared" si="25"/>
        <v>2024</v>
      </c>
      <c r="N111">
        <f t="shared" ca="1" si="26"/>
        <v>6</v>
      </c>
      <c r="O111">
        <v>3</v>
      </c>
    </row>
    <row r="112" spans="1:15" x14ac:dyDescent="0.35">
      <c r="A112" t="s">
        <v>225</v>
      </c>
      <c r="B112" t="s">
        <v>226</v>
      </c>
      <c r="C112" t="s">
        <v>17</v>
      </c>
      <c r="D112">
        <f t="shared" ca="1" si="22"/>
        <v>23</v>
      </c>
      <c r="E112" t="s">
        <v>34</v>
      </c>
      <c r="F112" t="s">
        <v>71</v>
      </c>
      <c r="G112">
        <f t="shared" ca="1" si="19"/>
        <v>75</v>
      </c>
      <c r="H112">
        <f>550</f>
        <v>550</v>
      </c>
      <c r="I112">
        <f t="shared" ca="1" si="20"/>
        <v>412</v>
      </c>
      <c r="J112">
        <f t="shared" ca="1" si="23"/>
        <v>3</v>
      </c>
      <c r="K112" t="str">
        <f t="shared" ca="1" si="24"/>
        <v>Pass</v>
      </c>
      <c r="L112" t="str">
        <f t="shared" ca="1" si="21"/>
        <v>B</v>
      </c>
      <c r="M112">
        <f t="shared" si="25"/>
        <v>2024</v>
      </c>
      <c r="N112">
        <f t="shared" ca="1" si="26"/>
        <v>5</v>
      </c>
      <c r="O112">
        <v>3</v>
      </c>
    </row>
    <row r="113" spans="1:15" x14ac:dyDescent="0.35">
      <c r="A113" t="s">
        <v>227</v>
      </c>
      <c r="B113" t="s">
        <v>228</v>
      </c>
      <c r="C113" t="s">
        <v>12</v>
      </c>
      <c r="D113">
        <f t="shared" ca="1" si="22"/>
        <v>24</v>
      </c>
      <c r="E113" t="s">
        <v>28</v>
      </c>
      <c r="F113" t="s">
        <v>25</v>
      </c>
      <c r="G113">
        <f t="shared" ca="1" si="19"/>
        <v>96</v>
      </c>
      <c r="H113">
        <f>550</f>
        <v>550</v>
      </c>
      <c r="I113">
        <f t="shared" ca="1" si="20"/>
        <v>529</v>
      </c>
      <c r="J113">
        <f t="shared" ca="1" si="23"/>
        <v>4</v>
      </c>
      <c r="K113" t="str">
        <f t="shared" ca="1" si="24"/>
        <v>Pass</v>
      </c>
      <c r="L113" t="str">
        <f t="shared" ca="1" si="21"/>
        <v>A+</v>
      </c>
      <c r="M113">
        <f t="shared" si="25"/>
        <v>2024</v>
      </c>
      <c r="N113">
        <f t="shared" ca="1" si="26"/>
        <v>5</v>
      </c>
      <c r="O113">
        <v>3</v>
      </c>
    </row>
    <row r="114" spans="1:15" x14ac:dyDescent="0.35">
      <c r="A114" t="s">
        <v>229</v>
      </c>
      <c r="B114" t="s">
        <v>200</v>
      </c>
      <c r="C114" t="s">
        <v>12</v>
      </c>
      <c r="D114">
        <f t="shared" ca="1" si="22"/>
        <v>23</v>
      </c>
      <c r="E114" t="s">
        <v>21</v>
      </c>
      <c r="F114" t="s">
        <v>25</v>
      </c>
      <c r="G114">
        <f t="shared" ca="1" si="19"/>
        <v>54</v>
      </c>
      <c r="H114">
        <f>550</f>
        <v>550</v>
      </c>
      <c r="I114">
        <f t="shared" ca="1" si="20"/>
        <v>296</v>
      </c>
      <c r="J114">
        <f t="shared" ca="1" si="23"/>
        <v>2</v>
      </c>
      <c r="K114" t="str">
        <f t="shared" ca="1" si="24"/>
        <v>Pass</v>
      </c>
      <c r="L114" t="str">
        <f t="shared" ca="1" si="21"/>
        <v>D</v>
      </c>
      <c r="M114">
        <f t="shared" si="25"/>
        <v>2025</v>
      </c>
      <c r="N114">
        <f t="shared" ca="1" si="26"/>
        <v>3</v>
      </c>
      <c r="O114">
        <v>2</v>
      </c>
    </row>
    <row r="115" spans="1:15" x14ac:dyDescent="0.35">
      <c r="A115" t="s">
        <v>230</v>
      </c>
      <c r="B115" t="s">
        <v>231</v>
      </c>
      <c r="C115" t="s">
        <v>17</v>
      </c>
      <c r="D115">
        <f t="shared" ca="1" si="22"/>
        <v>25</v>
      </c>
      <c r="E115" t="s">
        <v>21</v>
      </c>
      <c r="F115" t="s">
        <v>37</v>
      </c>
      <c r="G115">
        <f t="shared" ca="1" si="19"/>
        <v>55</v>
      </c>
      <c r="H115">
        <f>550</f>
        <v>550</v>
      </c>
      <c r="I115">
        <f t="shared" ca="1" si="20"/>
        <v>303</v>
      </c>
      <c r="J115">
        <f t="shared" ca="1" si="23"/>
        <v>2</v>
      </c>
      <c r="K115" t="str">
        <f t="shared" ca="1" si="24"/>
        <v>Pass</v>
      </c>
      <c r="L115" t="str">
        <f t="shared" ca="1" si="21"/>
        <v>D</v>
      </c>
      <c r="M115">
        <f t="shared" si="25"/>
        <v>2023</v>
      </c>
      <c r="N115">
        <f t="shared" ca="1" si="26"/>
        <v>7</v>
      </c>
      <c r="O115">
        <v>4</v>
      </c>
    </row>
    <row r="116" spans="1:15" x14ac:dyDescent="0.35">
      <c r="A116" t="s">
        <v>232</v>
      </c>
      <c r="B116" t="s">
        <v>233</v>
      </c>
      <c r="C116" t="s">
        <v>12</v>
      </c>
      <c r="D116">
        <f t="shared" ca="1" si="22"/>
        <v>23</v>
      </c>
      <c r="E116" t="s">
        <v>55</v>
      </c>
      <c r="F116" t="s">
        <v>14</v>
      </c>
      <c r="G116">
        <f t="shared" ca="1" si="19"/>
        <v>48</v>
      </c>
      <c r="H116">
        <f>550</f>
        <v>550</v>
      </c>
      <c r="I116">
        <f t="shared" ca="1" si="20"/>
        <v>265</v>
      </c>
      <c r="J116">
        <f t="shared" ca="1" si="23"/>
        <v>2</v>
      </c>
      <c r="K116" t="str">
        <f t="shared" ca="1" si="24"/>
        <v>Pass</v>
      </c>
      <c r="L116" t="str">
        <f t="shared" ca="1" si="21"/>
        <v>E</v>
      </c>
      <c r="M116">
        <f t="shared" si="25"/>
        <v>2025</v>
      </c>
      <c r="N116">
        <f t="shared" ca="1" si="26"/>
        <v>3</v>
      </c>
      <c r="O116">
        <v>2</v>
      </c>
    </row>
    <row r="117" spans="1:15" x14ac:dyDescent="0.35">
      <c r="A117" t="s">
        <v>234</v>
      </c>
      <c r="B117" t="s">
        <v>91</v>
      </c>
      <c r="C117" t="s">
        <v>12</v>
      </c>
      <c r="D117">
        <f t="shared" ca="1" si="22"/>
        <v>23</v>
      </c>
      <c r="E117" t="s">
        <v>21</v>
      </c>
      <c r="F117" t="s">
        <v>37</v>
      </c>
      <c r="G117">
        <f t="shared" ca="1" si="19"/>
        <v>61</v>
      </c>
      <c r="H117">
        <f>550</f>
        <v>550</v>
      </c>
      <c r="I117">
        <f t="shared" ca="1" si="20"/>
        <v>333</v>
      </c>
      <c r="J117">
        <f t="shared" ca="1" si="23"/>
        <v>2.5</v>
      </c>
      <c r="K117" t="str">
        <f t="shared" ca="1" si="24"/>
        <v>Pass</v>
      </c>
      <c r="L117" t="str">
        <f t="shared" ca="1" si="21"/>
        <v>C</v>
      </c>
      <c r="M117">
        <f t="shared" si="25"/>
        <v>2025</v>
      </c>
      <c r="N117">
        <f t="shared" ca="1" si="26"/>
        <v>4</v>
      </c>
      <c r="O117">
        <v>2</v>
      </c>
    </row>
    <row r="118" spans="1:15" x14ac:dyDescent="0.35">
      <c r="A118" t="s">
        <v>235</v>
      </c>
      <c r="B118" t="s">
        <v>236</v>
      </c>
      <c r="C118" t="s">
        <v>12</v>
      </c>
      <c r="D118">
        <f t="shared" ca="1" si="22"/>
        <v>22</v>
      </c>
      <c r="E118" t="s">
        <v>55</v>
      </c>
      <c r="F118" t="s">
        <v>37</v>
      </c>
      <c r="G118">
        <f t="shared" ca="1" si="19"/>
        <v>73</v>
      </c>
      <c r="H118">
        <f>550</f>
        <v>550</v>
      </c>
      <c r="I118">
        <f t="shared" ca="1" si="20"/>
        <v>400</v>
      </c>
      <c r="J118">
        <f t="shared" ca="1" si="23"/>
        <v>3</v>
      </c>
      <c r="K118" t="str">
        <f t="shared" ca="1" si="24"/>
        <v>Pass</v>
      </c>
      <c r="L118" t="str">
        <f t="shared" ca="1" si="21"/>
        <v>B</v>
      </c>
      <c r="M118">
        <f t="shared" si="25"/>
        <v>2025</v>
      </c>
      <c r="N118">
        <f t="shared" ca="1" si="26"/>
        <v>3</v>
      </c>
      <c r="O118">
        <v>2</v>
      </c>
    </row>
    <row r="119" spans="1:15" x14ac:dyDescent="0.35">
      <c r="A119" t="s">
        <v>237</v>
      </c>
      <c r="B119" t="s">
        <v>70</v>
      </c>
      <c r="C119" t="s">
        <v>12</v>
      </c>
      <c r="D119">
        <f t="shared" ca="1" si="22"/>
        <v>21</v>
      </c>
      <c r="E119" t="s">
        <v>21</v>
      </c>
      <c r="F119" t="s">
        <v>14</v>
      </c>
      <c r="G119">
        <f t="shared" ca="1" si="19"/>
        <v>56</v>
      </c>
      <c r="H119">
        <f>550</f>
        <v>550</v>
      </c>
      <c r="I119">
        <f t="shared" ca="1" si="20"/>
        <v>306</v>
      </c>
      <c r="J119">
        <f t="shared" ca="1" si="23"/>
        <v>2</v>
      </c>
      <c r="K119" t="str">
        <f t="shared" ca="1" si="24"/>
        <v>Pass</v>
      </c>
      <c r="L119" t="str">
        <f t="shared" ca="1" si="21"/>
        <v>D</v>
      </c>
      <c r="M119">
        <f t="shared" si="25"/>
        <v>2026</v>
      </c>
      <c r="N119">
        <f t="shared" ca="1" si="26"/>
        <v>1</v>
      </c>
      <c r="O119">
        <v>1</v>
      </c>
    </row>
    <row r="120" spans="1:15" x14ac:dyDescent="0.35">
      <c r="A120" t="s">
        <v>238</v>
      </c>
      <c r="B120" t="s">
        <v>239</v>
      </c>
      <c r="C120" t="s">
        <v>12</v>
      </c>
      <c r="D120">
        <f t="shared" ca="1" si="22"/>
        <v>25</v>
      </c>
      <c r="E120" t="s">
        <v>40</v>
      </c>
      <c r="F120" t="s">
        <v>60</v>
      </c>
      <c r="G120">
        <f t="shared" ca="1" si="19"/>
        <v>92</v>
      </c>
      <c r="H120">
        <f>550</f>
        <v>550</v>
      </c>
      <c r="I120">
        <f t="shared" ca="1" si="20"/>
        <v>506</v>
      </c>
      <c r="J120">
        <f t="shared" ca="1" si="23"/>
        <v>4</v>
      </c>
      <c r="K120" t="str">
        <f t="shared" ca="1" si="24"/>
        <v>Pass</v>
      </c>
      <c r="L120" t="str">
        <f t="shared" ca="1" si="21"/>
        <v>A+</v>
      </c>
      <c r="M120">
        <f t="shared" si="25"/>
        <v>2023</v>
      </c>
      <c r="N120">
        <f t="shared" ca="1" si="26"/>
        <v>7</v>
      </c>
      <c r="O120">
        <v>4</v>
      </c>
    </row>
    <row r="121" spans="1:15" x14ac:dyDescent="0.35">
      <c r="A121" t="s">
        <v>240</v>
      </c>
      <c r="B121" t="s">
        <v>241</v>
      </c>
      <c r="C121" t="s">
        <v>17</v>
      </c>
      <c r="D121">
        <f t="shared" ca="1" si="22"/>
        <v>21</v>
      </c>
      <c r="E121" t="s">
        <v>21</v>
      </c>
      <c r="F121" t="s">
        <v>18</v>
      </c>
      <c r="G121">
        <f t="shared" ca="1" si="19"/>
        <v>94</v>
      </c>
      <c r="H121">
        <f>550</f>
        <v>550</v>
      </c>
      <c r="I121">
        <f t="shared" ca="1" si="20"/>
        <v>516</v>
      </c>
      <c r="J121">
        <f t="shared" ca="1" si="23"/>
        <v>4</v>
      </c>
      <c r="K121" t="str">
        <f t="shared" ca="1" si="24"/>
        <v>Pass</v>
      </c>
      <c r="L121" t="str">
        <f t="shared" ca="1" si="21"/>
        <v>A+</v>
      </c>
      <c r="M121">
        <f t="shared" si="25"/>
        <v>2026</v>
      </c>
      <c r="N121">
        <f t="shared" ca="1" si="26"/>
        <v>1</v>
      </c>
      <c r="O121">
        <v>1</v>
      </c>
    </row>
    <row r="122" spans="1:15" x14ac:dyDescent="0.35">
      <c r="A122" t="s">
        <v>242</v>
      </c>
      <c r="B122" t="s">
        <v>57</v>
      </c>
      <c r="C122" t="s">
        <v>12</v>
      </c>
      <c r="D122">
        <f t="shared" ca="1" si="22"/>
        <v>22</v>
      </c>
      <c r="E122" t="s">
        <v>55</v>
      </c>
      <c r="F122" t="s">
        <v>41</v>
      </c>
      <c r="G122">
        <f t="shared" ca="1" si="19"/>
        <v>95</v>
      </c>
      <c r="H122">
        <f>550</f>
        <v>550</v>
      </c>
      <c r="I122">
        <f t="shared" ca="1" si="20"/>
        <v>525</v>
      </c>
      <c r="J122">
        <f t="shared" ca="1" si="23"/>
        <v>4</v>
      </c>
      <c r="K122" t="str">
        <f t="shared" ca="1" si="24"/>
        <v>Pass</v>
      </c>
      <c r="L122" t="str">
        <f t="shared" ca="1" si="21"/>
        <v>A+</v>
      </c>
      <c r="M122">
        <f t="shared" si="25"/>
        <v>2025</v>
      </c>
      <c r="N122">
        <f t="shared" ca="1" si="26"/>
        <v>4</v>
      </c>
      <c r="O122">
        <v>2</v>
      </c>
    </row>
    <row r="123" spans="1:15" x14ac:dyDescent="0.35">
      <c r="A123" t="s">
        <v>243</v>
      </c>
      <c r="B123" t="s">
        <v>244</v>
      </c>
      <c r="C123" t="s">
        <v>12</v>
      </c>
      <c r="D123">
        <f t="shared" ca="1" si="22"/>
        <v>23</v>
      </c>
      <c r="E123" t="s">
        <v>40</v>
      </c>
      <c r="F123" t="s">
        <v>60</v>
      </c>
      <c r="G123">
        <f t="shared" ca="1" si="19"/>
        <v>73</v>
      </c>
      <c r="H123">
        <f>550</f>
        <v>550</v>
      </c>
      <c r="I123">
        <f t="shared" ca="1" si="20"/>
        <v>401</v>
      </c>
      <c r="J123">
        <f t="shared" ca="1" si="23"/>
        <v>3</v>
      </c>
      <c r="K123" t="str">
        <f t="shared" ca="1" si="24"/>
        <v>Pass</v>
      </c>
      <c r="L123" t="str">
        <f t="shared" ca="1" si="21"/>
        <v>B</v>
      </c>
      <c r="M123">
        <f t="shared" si="25"/>
        <v>2024</v>
      </c>
      <c r="N123">
        <f t="shared" ca="1" si="26"/>
        <v>5</v>
      </c>
      <c r="O123">
        <v>3</v>
      </c>
    </row>
    <row r="124" spans="1:15" x14ac:dyDescent="0.35">
      <c r="A124" t="s">
        <v>245</v>
      </c>
      <c r="B124" t="s">
        <v>233</v>
      </c>
      <c r="C124" t="s">
        <v>12</v>
      </c>
      <c r="D124">
        <f t="shared" ca="1" si="22"/>
        <v>22</v>
      </c>
      <c r="E124" t="s">
        <v>31</v>
      </c>
      <c r="F124" t="s">
        <v>18</v>
      </c>
      <c r="G124">
        <f t="shared" ca="1" si="19"/>
        <v>90</v>
      </c>
      <c r="H124">
        <f>550</f>
        <v>550</v>
      </c>
      <c r="I124">
        <f t="shared" ca="1" si="20"/>
        <v>495</v>
      </c>
      <c r="J124">
        <f t="shared" ca="1" si="23"/>
        <v>4</v>
      </c>
      <c r="K124" t="str">
        <f t="shared" ca="1" si="24"/>
        <v>Pass</v>
      </c>
      <c r="L124" t="str">
        <f t="shared" ca="1" si="21"/>
        <v>A+</v>
      </c>
      <c r="M124">
        <f t="shared" si="25"/>
        <v>2026</v>
      </c>
      <c r="N124">
        <f t="shared" ca="1" si="26"/>
        <v>2</v>
      </c>
      <c r="O124">
        <v>1</v>
      </c>
    </row>
    <row r="125" spans="1:15" x14ac:dyDescent="0.35">
      <c r="A125" t="s">
        <v>246</v>
      </c>
      <c r="B125" t="s">
        <v>247</v>
      </c>
      <c r="C125" t="s">
        <v>12</v>
      </c>
      <c r="D125">
        <f t="shared" ca="1" si="22"/>
        <v>23</v>
      </c>
      <c r="E125" t="s">
        <v>28</v>
      </c>
      <c r="F125" t="s">
        <v>37</v>
      </c>
      <c r="G125">
        <f t="shared" ca="1" si="19"/>
        <v>89</v>
      </c>
      <c r="H125">
        <f>550</f>
        <v>550</v>
      </c>
      <c r="I125">
        <f t="shared" ca="1" si="20"/>
        <v>487</v>
      </c>
      <c r="J125">
        <f t="shared" ca="1" si="23"/>
        <v>3.5</v>
      </c>
      <c r="K125" t="str">
        <f t="shared" ca="1" si="24"/>
        <v>Pass</v>
      </c>
      <c r="L125" t="str">
        <f t="shared" ca="1" si="21"/>
        <v>A</v>
      </c>
      <c r="M125">
        <f t="shared" si="25"/>
        <v>2024</v>
      </c>
      <c r="N125">
        <f t="shared" ca="1" si="26"/>
        <v>6</v>
      </c>
      <c r="O125">
        <v>3</v>
      </c>
    </row>
    <row r="126" spans="1:15" x14ac:dyDescent="0.35">
      <c r="A126" t="s">
        <v>248</v>
      </c>
      <c r="B126" t="s">
        <v>220</v>
      </c>
      <c r="C126" t="s">
        <v>17</v>
      </c>
      <c r="D126">
        <f t="shared" ca="1" si="22"/>
        <v>23</v>
      </c>
      <c r="E126" t="s">
        <v>46</v>
      </c>
      <c r="F126" t="s">
        <v>37</v>
      </c>
      <c r="G126">
        <f t="shared" ca="1" si="19"/>
        <v>92</v>
      </c>
      <c r="H126">
        <f>550</f>
        <v>550</v>
      </c>
      <c r="I126">
        <f t="shared" ca="1" si="20"/>
        <v>506</v>
      </c>
      <c r="J126">
        <f t="shared" ca="1" si="23"/>
        <v>4</v>
      </c>
      <c r="K126" t="str">
        <f t="shared" ca="1" si="24"/>
        <v>Pass</v>
      </c>
      <c r="L126" t="str">
        <f t="shared" ca="1" si="21"/>
        <v>A+</v>
      </c>
      <c r="M126">
        <f t="shared" si="25"/>
        <v>2025</v>
      </c>
      <c r="N126">
        <f t="shared" ca="1" si="26"/>
        <v>4</v>
      </c>
      <c r="O126">
        <v>2</v>
      </c>
    </row>
    <row r="127" spans="1:15" x14ac:dyDescent="0.35">
      <c r="A127" t="s">
        <v>249</v>
      </c>
      <c r="B127" t="s">
        <v>250</v>
      </c>
      <c r="C127" t="s">
        <v>12</v>
      </c>
      <c r="D127">
        <f t="shared" ca="1" si="22"/>
        <v>23</v>
      </c>
      <c r="E127" t="s">
        <v>34</v>
      </c>
      <c r="F127" t="s">
        <v>60</v>
      </c>
      <c r="G127">
        <f t="shared" ca="1" si="19"/>
        <v>95</v>
      </c>
      <c r="H127">
        <f>550</f>
        <v>550</v>
      </c>
      <c r="I127">
        <f t="shared" ca="1" si="20"/>
        <v>524</v>
      </c>
      <c r="J127">
        <f t="shared" ca="1" si="23"/>
        <v>4</v>
      </c>
      <c r="K127" t="str">
        <f t="shared" ca="1" si="24"/>
        <v>Pass</v>
      </c>
      <c r="L127" t="str">
        <f t="shared" ca="1" si="21"/>
        <v>A+</v>
      </c>
      <c r="M127">
        <f t="shared" si="25"/>
        <v>2025</v>
      </c>
      <c r="N127">
        <f t="shared" ca="1" si="26"/>
        <v>3</v>
      </c>
      <c r="O127">
        <v>2</v>
      </c>
    </row>
    <row r="128" spans="1:15" x14ac:dyDescent="0.35">
      <c r="A128" t="s">
        <v>251</v>
      </c>
      <c r="B128" t="s">
        <v>252</v>
      </c>
      <c r="C128" t="s">
        <v>17</v>
      </c>
      <c r="D128">
        <f t="shared" ca="1" si="22"/>
        <v>25</v>
      </c>
      <c r="E128" t="s">
        <v>55</v>
      </c>
      <c r="F128" t="s">
        <v>18</v>
      </c>
      <c r="G128">
        <f t="shared" ca="1" si="19"/>
        <v>90</v>
      </c>
      <c r="H128">
        <f>550</f>
        <v>550</v>
      </c>
      <c r="I128">
        <f t="shared" ca="1" si="20"/>
        <v>497</v>
      </c>
      <c r="J128">
        <f t="shared" ca="1" si="23"/>
        <v>4</v>
      </c>
      <c r="K128" t="str">
        <f t="shared" ca="1" si="24"/>
        <v>Pass</v>
      </c>
      <c r="L128" t="str">
        <f t="shared" ca="1" si="21"/>
        <v>A+</v>
      </c>
      <c r="M128">
        <f t="shared" si="25"/>
        <v>2023</v>
      </c>
      <c r="N128">
        <f t="shared" ca="1" si="26"/>
        <v>7</v>
      </c>
      <c r="O128">
        <v>4</v>
      </c>
    </row>
    <row r="129" spans="1:15" x14ac:dyDescent="0.35">
      <c r="A129" t="s">
        <v>253</v>
      </c>
      <c r="B129" t="s">
        <v>254</v>
      </c>
      <c r="C129" t="s">
        <v>12</v>
      </c>
      <c r="D129">
        <f t="shared" ca="1" si="22"/>
        <v>23</v>
      </c>
      <c r="E129" t="s">
        <v>40</v>
      </c>
      <c r="F129" t="s">
        <v>14</v>
      </c>
      <c r="G129">
        <f t="shared" ca="1" si="19"/>
        <v>99</v>
      </c>
      <c r="H129">
        <f>550</f>
        <v>550</v>
      </c>
      <c r="I129">
        <f t="shared" ca="1" si="20"/>
        <v>546</v>
      </c>
      <c r="J129">
        <f t="shared" ca="1" si="23"/>
        <v>4</v>
      </c>
      <c r="K129" t="str">
        <f t="shared" ca="1" si="24"/>
        <v>Pass</v>
      </c>
      <c r="L129" t="str">
        <f t="shared" ca="1" si="21"/>
        <v>A+</v>
      </c>
      <c r="M129">
        <f t="shared" si="25"/>
        <v>2024</v>
      </c>
      <c r="N129">
        <f t="shared" ca="1" si="26"/>
        <v>5</v>
      </c>
      <c r="O129">
        <v>3</v>
      </c>
    </row>
    <row r="130" spans="1:15" x14ac:dyDescent="0.35">
      <c r="A130" t="s">
        <v>255</v>
      </c>
      <c r="B130" t="s">
        <v>256</v>
      </c>
      <c r="C130" t="s">
        <v>17</v>
      </c>
      <c r="D130">
        <f t="shared" ref="D130:D161" ca="1" si="27">18+O130+RANDBETWEEN(2,3)</f>
        <v>24</v>
      </c>
      <c r="E130" t="s">
        <v>31</v>
      </c>
      <c r="F130" t="s">
        <v>41</v>
      </c>
      <c r="G130">
        <f t="shared" ca="1" si="19"/>
        <v>70</v>
      </c>
      <c r="H130">
        <f>550</f>
        <v>550</v>
      </c>
      <c r="I130">
        <f t="shared" ca="1" si="20"/>
        <v>387</v>
      </c>
      <c r="J130">
        <f t="shared" ref="J130:J161" ca="1" si="28">IF(I130&gt;=495,4,IF(I130&gt;=440,3.5,IF(I130&gt;=380,3,IF(I130&gt;=330,2.5,IF(I130&gt;=260,2,1)))))</f>
        <v>3</v>
      </c>
      <c r="K130" t="str">
        <f t="shared" ref="K130:K161" ca="1" si="29">IF(I130&gt;=250,"Pass", "Fail")</f>
        <v>Pass</v>
      </c>
      <c r="L130" t="str">
        <f t="shared" ca="1" si="21"/>
        <v>B</v>
      </c>
      <c r="M130">
        <f t="shared" ref="M130:M161" si="30">2026-O130+1</f>
        <v>2024</v>
      </c>
      <c r="N130">
        <f t="shared" ref="N130:N161" ca="1" si="31">RANDBETWEEN((O130*2)-1,O130*2)</f>
        <v>5</v>
      </c>
      <c r="O130">
        <v>3</v>
      </c>
    </row>
    <row r="131" spans="1:15" x14ac:dyDescent="0.35">
      <c r="A131" t="s">
        <v>257</v>
      </c>
      <c r="B131" t="s">
        <v>62</v>
      </c>
      <c r="C131" t="s">
        <v>12</v>
      </c>
      <c r="D131">
        <f t="shared" ca="1" si="27"/>
        <v>24</v>
      </c>
      <c r="E131" t="s">
        <v>21</v>
      </c>
      <c r="F131" t="s">
        <v>71</v>
      </c>
      <c r="G131">
        <f t="shared" ref="G131:G194" ca="1" si="32">ROUND((I131/550)*100,0)</f>
        <v>89</v>
      </c>
      <c r="H131">
        <f>550</f>
        <v>550</v>
      </c>
      <c r="I131">
        <f t="shared" ref="I131:I193" ca="1" si="33">RANDBETWEEN(250,550)</f>
        <v>488</v>
      </c>
      <c r="J131">
        <f t="shared" ca="1" si="28"/>
        <v>3.5</v>
      </c>
      <c r="K131" t="str">
        <f t="shared" ca="1" si="29"/>
        <v>Pass</v>
      </c>
      <c r="L131" t="str">
        <f t="shared" ref="L131:L194" ca="1" si="34">IF(I131&gt;=495,"A+",IF(I131&gt;=440,"A",IF(I131&gt;=385,"B",IF(I131&gt;=330,"C",IF(I131&gt;=275,"D",IF(I131&gt;=251,"E","F"))))))</f>
        <v>A</v>
      </c>
      <c r="M131">
        <f t="shared" si="30"/>
        <v>2024</v>
      </c>
      <c r="N131">
        <f t="shared" ca="1" si="31"/>
        <v>5</v>
      </c>
      <c r="O131">
        <v>3</v>
      </c>
    </row>
    <row r="132" spans="1:15" x14ac:dyDescent="0.35">
      <c r="A132" t="s">
        <v>258</v>
      </c>
      <c r="B132" t="s">
        <v>259</v>
      </c>
      <c r="C132" t="s">
        <v>12</v>
      </c>
      <c r="D132">
        <f t="shared" ca="1" si="27"/>
        <v>21</v>
      </c>
      <c r="E132" t="s">
        <v>34</v>
      </c>
      <c r="F132" t="s">
        <v>14</v>
      </c>
      <c r="G132">
        <f t="shared" ca="1" si="32"/>
        <v>53</v>
      </c>
      <c r="H132">
        <f>550</f>
        <v>550</v>
      </c>
      <c r="I132">
        <f t="shared" ca="1" si="33"/>
        <v>293</v>
      </c>
      <c r="J132">
        <f t="shared" ca="1" si="28"/>
        <v>2</v>
      </c>
      <c r="K132" t="str">
        <f t="shared" ca="1" si="29"/>
        <v>Pass</v>
      </c>
      <c r="L132" t="str">
        <f t="shared" ca="1" si="34"/>
        <v>D</v>
      </c>
      <c r="M132">
        <f t="shared" si="30"/>
        <v>2026</v>
      </c>
      <c r="N132">
        <f t="shared" ca="1" si="31"/>
        <v>2</v>
      </c>
      <c r="O132">
        <v>1</v>
      </c>
    </row>
    <row r="133" spans="1:15" x14ac:dyDescent="0.35">
      <c r="A133" t="s">
        <v>260</v>
      </c>
      <c r="B133" t="s">
        <v>81</v>
      </c>
      <c r="C133" t="s">
        <v>12</v>
      </c>
      <c r="D133">
        <f t="shared" ca="1" si="27"/>
        <v>24</v>
      </c>
      <c r="E133" t="s">
        <v>55</v>
      </c>
      <c r="F133" t="s">
        <v>37</v>
      </c>
      <c r="G133">
        <f t="shared" ca="1" si="32"/>
        <v>70</v>
      </c>
      <c r="H133">
        <f>550</f>
        <v>550</v>
      </c>
      <c r="I133">
        <f t="shared" ca="1" si="33"/>
        <v>384</v>
      </c>
      <c r="J133">
        <f t="shared" ca="1" si="28"/>
        <v>3</v>
      </c>
      <c r="K133" t="str">
        <f t="shared" ca="1" si="29"/>
        <v>Pass</v>
      </c>
      <c r="L133" t="str">
        <f t="shared" ca="1" si="34"/>
        <v>C</v>
      </c>
      <c r="M133">
        <f t="shared" si="30"/>
        <v>2024</v>
      </c>
      <c r="N133">
        <f t="shared" ca="1" si="31"/>
        <v>6</v>
      </c>
      <c r="O133">
        <v>3</v>
      </c>
    </row>
    <row r="134" spans="1:15" x14ac:dyDescent="0.35">
      <c r="A134" t="s">
        <v>261</v>
      </c>
      <c r="B134" t="s">
        <v>204</v>
      </c>
      <c r="C134" t="s">
        <v>12</v>
      </c>
      <c r="D134">
        <f t="shared" ca="1" si="27"/>
        <v>25</v>
      </c>
      <c r="E134" t="s">
        <v>21</v>
      </c>
      <c r="F134" t="s">
        <v>71</v>
      </c>
      <c r="G134">
        <f t="shared" ca="1" si="32"/>
        <v>98</v>
      </c>
      <c r="H134">
        <f>550</f>
        <v>550</v>
      </c>
      <c r="I134">
        <f t="shared" ca="1" si="33"/>
        <v>539</v>
      </c>
      <c r="J134">
        <f t="shared" ca="1" si="28"/>
        <v>4</v>
      </c>
      <c r="K134" t="str">
        <f t="shared" ca="1" si="29"/>
        <v>Pass</v>
      </c>
      <c r="L134" t="str">
        <f t="shared" ca="1" si="34"/>
        <v>A+</v>
      </c>
      <c r="M134">
        <f t="shared" si="30"/>
        <v>2023</v>
      </c>
      <c r="N134">
        <f t="shared" ca="1" si="31"/>
        <v>8</v>
      </c>
      <c r="O134">
        <v>4</v>
      </c>
    </row>
    <row r="135" spans="1:15" x14ac:dyDescent="0.35">
      <c r="A135" t="s">
        <v>262</v>
      </c>
      <c r="B135" t="s">
        <v>263</v>
      </c>
      <c r="C135" t="s">
        <v>17</v>
      </c>
      <c r="D135">
        <f t="shared" ca="1" si="27"/>
        <v>24</v>
      </c>
      <c r="E135" t="s">
        <v>28</v>
      </c>
      <c r="F135" t="s">
        <v>60</v>
      </c>
      <c r="G135">
        <f t="shared" ca="1" si="32"/>
        <v>97</v>
      </c>
      <c r="H135">
        <f>550</f>
        <v>550</v>
      </c>
      <c r="I135">
        <f t="shared" ca="1" si="33"/>
        <v>533</v>
      </c>
      <c r="J135">
        <f t="shared" ca="1" si="28"/>
        <v>4</v>
      </c>
      <c r="K135" t="str">
        <f t="shared" ca="1" si="29"/>
        <v>Pass</v>
      </c>
      <c r="L135" t="str">
        <f t="shared" ca="1" si="34"/>
        <v>A+</v>
      </c>
      <c r="M135">
        <f t="shared" si="30"/>
        <v>2023</v>
      </c>
      <c r="N135">
        <f t="shared" ca="1" si="31"/>
        <v>8</v>
      </c>
      <c r="O135">
        <v>4</v>
      </c>
    </row>
    <row r="136" spans="1:15" x14ac:dyDescent="0.35">
      <c r="A136" t="s">
        <v>264</v>
      </c>
      <c r="B136" t="s">
        <v>70</v>
      </c>
      <c r="C136" t="s">
        <v>12</v>
      </c>
      <c r="D136">
        <f t="shared" ca="1" si="27"/>
        <v>21</v>
      </c>
      <c r="E136" t="s">
        <v>46</v>
      </c>
      <c r="F136" t="s">
        <v>37</v>
      </c>
      <c r="G136">
        <f t="shared" ca="1" si="32"/>
        <v>85</v>
      </c>
      <c r="H136">
        <f>550</f>
        <v>550</v>
      </c>
      <c r="I136">
        <f t="shared" ca="1" si="33"/>
        <v>465</v>
      </c>
      <c r="J136">
        <f t="shared" ca="1" si="28"/>
        <v>3.5</v>
      </c>
      <c r="K136" t="str">
        <f t="shared" ca="1" si="29"/>
        <v>Pass</v>
      </c>
      <c r="L136" t="str">
        <f t="shared" ca="1" si="34"/>
        <v>A</v>
      </c>
      <c r="M136">
        <f t="shared" si="30"/>
        <v>2026</v>
      </c>
      <c r="N136">
        <f t="shared" ca="1" si="31"/>
        <v>1</v>
      </c>
      <c r="O136">
        <v>1</v>
      </c>
    </row>
    <row r="137" spans="1:15" x14ac:dyDescent="0.35">
      <c r="A137" t="s">
        <v>265</v>
      </c>
      <c r="B137" t="s">
        <v>175</v>
      </c>
      <c r="C137" t="s">
        <v>17</v>
      </c>
      <c r="D137">
        <f t="shared" ca="1" si="27"/>
        <v>24</v>
      </c>
      <c r="E137" t="s">
        <v>21</v>
      </c>
      <c r="F137" t="s">
        <v>25</v>
      </c>
      <c r="G137">
        <f t="shared" ca="1" si="32"/>
        <v>69</v>
      </c>
      <c r="H137">
        <f>550</f>
        <v>550</v>
      </c>
      <c r="I137">
        <f t="shared" ca="1" si="33"/>
        <v>377</v>
      </c>
      <c r="J137">
        <f t="shared" ca="1" si="28"/>
        <v>2.5</v>
      </c>
      <c r="K137" t="str">
        <f t="shared" ca="1" si="29"/>
        <v>Pass</v>
      </c>
      <c r="L137" t="str">
        <f t="shared" ca="1" si="34"/>
        <v>C</v>
      </c>
      <c r="M137">
        <f t="shared" si="30"/>
        <v>2023</v>
      </c>
      <c r="N137">
        <f t="shared" ca="1" si="31"/>
        <v>8</v>
      </c>
      <c r="O137">
        <v>4</v>
      </c>
    </row>
    <row r="138" spans="1:15" x14ac:dyDescent="0.35">
      <c r="A138" t="s">
        <v>266</v>
      </c>
      <c r="B138" t="s">
        <v>267</v>
      </c>
      <c r="C138" t="s">
        <v>17</v>
      </c>
      <c r="D138">
        <f t="shared" ca="1" si="27"/>
        <v>21</v>
      </c>
      <c r="E138" t="s">
        <v>13</v>
      </c>
      <c r="F138" t="s">
        <v>18</v>
      </c>
      <c r="G138">
        <f t="shared" ca="1" si="32"/>
        <v>75</v>
      </c>
      <c r="H138">
        <f>550</f>
        <v>550</v>
      </c>
      <c r="I138">
        <f t="shared" ca="1" si="33"/>
        <v>410</v>
      </c>
      <c r="J138">
        <f t="shared" ca="1" si="28"/>
        <v>3</v>
      </c>
      <c r="K138" t="str">
        <f t="shared" ca="1" si="29"/>
        <v>Pass</v>
      </c>
      <c r="L138" t="str">
        <f t="shared" ca="1" si="34"/>
        <v>B</v>
      </c>
      <c r="M138">
        <f t="shared" si="30"/>
        <v>2026</v>
      </c>
      <c r="N138">
        <f t="shared" ca="1" si="31"/>
        <v>2</v>
      </c>
      <c r="O138">
        <v>1</v>
      </c>
    </row>
    <row r="139" spans="1:15" x14ac:dyDescent="0.35">
      <c r="A139" t="s">
        <v>268</v>
      </c>
      <c r="B139" t="s">
        <v>136</v>
      </c>
      <c r="C139" t="s">
        <v>17</v>
      </c>
      <c r="D139">
        <f t="shared" ca="1" si="27"/>
        <v>24</v>
      </c>
      <c r="E139" t="s">
        <v>55</v>
      </c>
      <c r="F139" t="s">
        <v>71</v>
      </c>
      <c r="G139">
        <f t="shared" ca="1" si="32"/>
        <v>84</v>
      </c>
      <c r="H139">
        <f>550</f>
        <v>550</v>
      </c>
      <c r="I139">
        <f t="shared" ca="1" si="33"/>
        <v>464</v>
      </c>
      <c r="J139">
        <f t="shared" ca="1" si="28"/>
        <v>3.5</v>
      </c>
      <c r="K139" t="str">
        <f t="shared" ca="1" si="29"/>
        <v>Pass</v>
      </c>
      <c r="L139" t="str">
        <f t="shared" ca="1" si="34"/>
        <v>A</v>
      </c>
      <c r="M139">
        <f t="shared" si="30"/>
        <v>2024</v>
      </c>
      <c r="N139">
        <f t="shared" ca="1" si="31"/>
        <v>5</v>
      </c>
      <c r="O139">
        <v>3</v>
      </c>
    </row>
    <row r="140" spans="1:15" x14ac:dyDescent="0.35">
      <c r="A140" t="s">
        <v>269</v>
      </c>
      <c r="B140" t="s">
        <v>270</v>
      </c>
      <c r="C140" t="s">
        <v>12</v>
      </c>
      <c r="D140">
        <f t="shared" ca="1" si="27"/>
        <v>23</v>
      </c>
      <c r="E140" t="s">
        <v>34</v>
      </c>
      <c r="F140" t="s">
        <v>60</v>
      </c>
      <c r="G140">
        <f t="shared" ca="1" si="32"/>
        <v>99</v>
      </c>
      <c r="H140">
        <f>550</f>
        <v>550</v>
      </c>
      <c r="I140">
        <f t="shared" ca="1" si="33"/>
        <v>542</v>
      </c>
      <c r="J140">
        <f t="shared" ca="1" si="28"/>
        <v>4</v>
      </c>
      <c r="K140" t="str">
        <f t="shared" ca="1" si="29"/>
        <v>Pass</v>
      </c>
      <c r="L140" t="str">
        <f t="shared" ca="1" si="34"/>
        <v>A+</v>
      </c>
      <c r="M140">
        <f t="shared" si="30"/>
        <v>2024</v>
      </c>
      <c r="N140">
        <f t="shared" ca="1" si="31"/>
        <v>5</v>
      </c>
      <c r="O140">
        <v>3</v>
      </c>
    </row>
    <row r="141" spans="1:15" x14ac:dyDescent="0.35">
      <c r="A141" t="s">
        <v>271</v>
      </c>
      <c r="B141" t="s">
        <v>272</v>
      </c>
      <c r="C141" t="s">
        <v>17</v>
      </c>
      <c r="D141">
        <f t="shared" ca="1" si="27"/>
        <v>22</v>
      </c>
      <c r="E141" t="s">
        <v>21</v>
      </c>
      <c r="F141" t="s">
        <v>71</v>
      </c>
      <c r="G141">
        <f t="shared" ca="1" si="32"/>
        <v>65</v>
      </c>
      <c r="H141">
        <f>550</f>
        <v>550</v>
      </c>
      <c r="I141">
        <f t="shared" ca="1" si="33"/>
        <v>357</v>
      </c>
      <c r="J141">
        <f t="shared" ca="1" si="28"/>
        <v>2.5</v>
      </c>
      <c r="K141" t="str">
        <f t="shared" ca="1" si="29"/>
        <v>Pass</v>
      </c>
      <c r="L141" t="str">
        <f t="shared" ca="1" si="34"/>
        <v>C</v>
      </c>
      <c r="M141">
        <f t="shared" si="30"/>
        <v>2026</v>
      </c>
      <c r="N141">
        <f t="shared" ca="1" si="31"/>
        <v>2</v>
      </c>
      <c r="O141">
        <v>1</v>
      </c>
    </row>
    <row r="142" spans="1:15" x14ac:dyDescent="0.35">
      <c r="A142" t="s">
        <v>273</v>
      </c>
      <c r="B142" t="s">
        <v>274</v>
      </c>
      <c r="C142" t="s">
        <v>12</v>
      </c>
      <c r="D142">
        <f t="shared" ca="1" si="27"/>
        <v>23</v>
      </c>
      <c r="E142" t="s">
        <v>34</v>
      </c>
      <c r="F142" t="s">
        <v>18</v>
      </c>
      <c r="G142">
        <f t="shared" ca="1" si="32"/>
        <v>88</v>
      </c>
      <c r="H142">
        <f>550</f>
        <v>550</v>
      </c>
      <c r="I142">
        <f t="shared" ca="1" si="33"/>
        <v>484</v>
      </c>
      <c r="J142">
        <f t="shared" ca="1" si="28"/>
        <v>3.5</v>
      </c>
      <c r="K142" t="str">
        <f t="shared" ca="1" si="29"/>
        <v>Pass</v>
      </c>
      <c r="L142" t="str">
        <f t="shared" ca="1" si="34"/>
        <v>A</v>
      </c>
      <c r="M142">
        <f t="shared" si="30"/>
        <v>2025</v>
      </c>
      <c r="N142">
        <f t="shared" ca="1" si="31"/>
        <v>3</v>
      </c>
      <c r="O142">
        <v>2</v>
      </c>
    </row>
    <row r="143" spans="1:15" x14ac:dyDescent="0.35">
      <c r="A143" t="s">
        <v>275</v>
      </c>
      <c r="B143" t="s">
        <v>276</v>
      </c>
      <c r="C143" t="s">
        <v>12</v>
      </c>
      <c r="D143">
        <f t="shared" ca="1" si="27"/>
        <v>23</v>
      </c>
      <c r="E143" t="s">
        <v>21</v>
      </c>
      <c r="F143" t="s">
        <v>60</v>
      </c>
      <c r="G143">
        <f t="shared" ca="1" si="32"/>
        <v>95</v>
      </c>
      <c r="H143">
        <f>550</f>
        <v>550</v>
      </c>
      <c r="I143">
        <f t="shared" ca="1" si="33"/>
        <v>521</v>
      </c>
      <c r="J143">
        <f t="shared" ca="1" si="28"/>
        <v>4</v>
      </c>
      <c r="K143" t="str">
        <f t="shared" ca="1" si="29"/>
        <v>Pass</v>
      </c>
      <c r="L143" t="str">
        <f t="shared" ca="1" si="34"/>
        <v>A+</v>
      </c>
      <c r="M143">
        <f t="shared" si="30"/>
        <v>2024</v>
      </c>
      <c r="N143">
        <f t="shared" ca="1" si="31"/>
        <v>6</v>
      </c>
      <c r="O143">
        <v>3</v>
      </c>
    </row>
    <row r="144" spans="1:15" x14ac:dyDescent="0.35">
      <c r="A144" t="s">
        <v>277</v>
      </c>
      <c r="B144" t="s">
        <v>250</v>
      </c>
      <c r="C144" t="s">
        <v>12</v>
      </c>
      <c r="D144">
        <f t="shared" ca="1" si="27"/>
        <v>21</v>
      </c>
      <c r="E144" t="s">
        <v>31</v>
      </c>
      <c r="F144" t="s">
        <v>37</v>
      </c>
      <c r="G144">
        <f t="shared" ca="1" si="32"/>
        <v>65</v>
      </c>
      <c r="H144">
        <f>550</f>
        <v>550</v>
      </c>
      <c r="I144">
        <f t="shared" ca="1" si="33"/>
        <v>360</v>
      </c>
      <c r="J144">
        <f t="shared" ca="1" si="28"/>
        <v>2.5</v>
      </c>
      <c r="K144" t="str">
        <f t="shared" ca="1" si="29"/>
        <v>Pass</v>
      </c>
      <c r="L144" t="str">
        <f t="shared" ca="1" si="34"/>
        <v>C</v>
      </c>
      <c r="M144">
        <f t="shared" si="30"/>
        <v>2026</v>
      </c>
      <c r="N144">
        <f t="shared" ca="1" si="31"/>
        <v>1</v>
      </c>
      <c r="O144">
        <v>1</v>
      </c>
    </row>
    <row r="145" spans="1:15" x14ac:dyDescent="0.35">
      <c r="A145" t="s">
        <v>278</v>
      </c>
      <c r="B145" t="s">
        <v>279</v>
      </c>
      <c r="C145" t="s">
        <v>17</v>
      </c>
      <c r="D145">
        <f t="shared" ca="1" si="27"/>
        <v>22</v>
      </c>
      <c r="E145" t="s">
        <v>21</v>
      </c>
      <c r="F145" t="s">
        <v>14</v>
      </c>
      <c r="G145">
        <f t="shared" ca="1" si="32"/>
        <v>65</v>
      </c>
      <c r="H145">
        <f>550</f>
        <v>550</v>
      </c>
      <c r="I145">
        <f t="shared" ca="1" si="33"/>
        <v>358</v>
      </c>
      <c r="J145">
        <f t="shared" ca="1" si="28"/>
        <v>2.5</v>
      </c>
      <c r="K145" t="str">
        <f t="shared" ca="1" si="29"/>
        <v>Pass</v>
      </c>
      <c r="L145" t="str">
        <f t="shared" ca="1" si="34"/>
        <v>C</v>
      </c>
      <c r="M145">
        <f t="shared" si="30"/>
        <v>2025</v>
      </c>
      <c r="N145">
        <f t="shared" ca="1" si="31"/>
        <v>3</v>
      </c>
      <c r="O145">
        <v>2</v>
      </c>
    </row>
    <row r="146" spans="1:15" x14ac:dyDescent="0.35">
      <c r="A146" t="s">
        <v>280</v>
      </c>
      <c r="B146" t="s">
        <v>281</v>
      </c>
      <c r="C146" t="s">
        <v>12</v>
      </c>
      <c r="D146">
        <f t="shared" ca="1" si="27"/>
        <v>21</v>
      </c>
      <c r="E146" t="s">
        <v>13</v>
      </c>
      <c r="F146" t="s">
        <v>18</v>
      </c>
      <c r="G146">
        <f t="shared" ca="1" si="32"/>
        <v>50</v>
      </c>
      <c r="H146">
        <f>550</f>
        <v>550</v>
      </c>
      <c r="I146">
        <f t="shared" ca="1" si="33"/>
        <v>277</v>
      </c>
      <c r="J146">
        <f t="shared" ca="1" si="28"/>
        <v>2</v>
      </c>
      <c r="K146" t="str">
        <f t="shared" ca="1" si="29"/>
        <v>Pass</v>
      </c>
      <c r="L146" t="str">
        <f t="shared" ca="1" si="34"/>
        <v>D</v>
      </c>
      <c r="M146">
        <f t="shared" si="30"/>
        <v>2026</v>
      </c>
      <c r="N146">
        <f t="shared" ca="1" si="31"/>
        <v>1</v>
      </c>
      <c r="O146">
        <v>1</v>
      </c>
    </row>
    <row r="147" spans="1:15" x14ac:dyDescent="0.35">
      <c r="A147" t="s">
        <v>282</v>
      </c>
      <c r="B147" t="s">
        <v>36</v>
      </c>
      <c r="C147" t="s">
        <v>17</v>
      </c>
      <c r="D147">
        <f t="shared" ca="1" si="27"/>
        <v>22</v>
      </c>
      <c r="E147" t="s">
        <v>21</v>
      </c>
      <c r="F147" t="s">
        <v>18</v>
      </c>
      <c r="G147">
        <f t="shared" ca="1" si="32"/>
        <v>83</v>
      </c>
      <c r="H147">
        <f>550</f>
        <v>550</v>
      </c>
      <c r="I147">
        <f t="shared" ca="1" si="33"/>
        <v>457</v>
      </c>
      <c r="J147">
        <f t="shared" ca="1" si="28"/>
        <v>3.5</v>
      </c>
      <c r="K147" t="str">
        <f t="shared" ca="1" si="29"/>
        <v>Pass</v>
      </c>
      <c r="L147" t="str">
        <f t="shared" ca="1" si="34"/>
        <v>A</v>
      </c>
      <c r="M147">
        <f t="shared" si="30"/>
        <v>2025</v>
      </c>
      <c r="N147">
        <f t="shared" ca="1" si="31"/>
        <v>3</v>
      </c>
      <c r="O147">
        <v>2</v>
      </c>
    </row>
    <row r="148" spans="1:15" x14ac:dyDescent="0.35">
      <c r="A148" t="s">
        <v>283</v>
      </c>
      <c r="B148" t="s">
        <v>45</v>
      </c>
      <c r="C148" t="s">
        <v>17</v>
      </c>
      <c r="D148">
        <f t="shared" ca="1" si="27"/>
        <v>24</v>
      </c>
      <c r="E148" t="s">
        <v>55</v>
      </c>
      <c r="F148" t="s">
        <v>14</v>
      </c>
      <c r="G148">
        <f t="shared" ca="1" si="32"/>
        <v>91</v>
      </c>
      <c r="H148">
        <f>550</f>
        <v>550</v>
      </c>
      <c r="I148">
        <f t="shared" ca="1" si="33"/>
        <v>500</v>
      </c>
      <c r="J148">
        <f t="shared" ca="1" si="28"/>
        <v>4</v>
      </c>
      <c r="K148" t="str">
        <f t="shared" ca="1" si="29"/>
        <v>Pass</v>
      </c>
      <c r="L148" t="str">
        <f t="shared" ca="1" si="34"/>
        <v>A+</v>
      </c>
      <c r="M148">
        <f t="shared" si="30"/>
        <v>2023</v>
      </c>
      <c r="N148">
        <f t="shared" ca="1" si="31"/>
        <v>7</v>
      </c>
      <c r="O148">
        <v>4</v>
      </c>
    </row>
    <row r="149" spans="1:15" x14ac:dyDescent="0.35">
      <c r="A149" t="s">
        <v>284</v>
      </c>
      <c r="B149" t="s">
        <v>285</v>
      </c>
      <c r="C149" t="s">
        <v>12</v>
      </c>
      <c r="D149">
        <f t="shared" ca="1" si="27"/>
        <v>22</v>
      </c>
      <c r="E149" t="s">
        <v>40</v>
      </c>
      <c r="F149" t="s">
        <v>41</v>
      </c>
      <c r="G149">
        <f t="shared" ca="1" si="32"/>
        <v>93</v>
      </c>
      <c r="H149">
        <f>550</f>
        <v>550</v>
      </c>
      <c r="I149">
        <f t="shared" ca="1" si="33"/>
        <v>511</v>
      </c>
      <c r="J149">
        <f t="shared" ca="1" si="28"/>
        <v>4</v>
      </c>
      <c r="K149" t="str">
        <f t="shared" ca="1" si="29"/>
        <v>Pass</v>
      </c>
      <c r="L149" t="str">
        <f t="shared" ca="1" si="34"/>
        <v>A+</v>
      </c>
      <c r="M149">
        <f t="shared" si="30"/>
        <v>2025</v>
      </c>
      <c r="N149">
        <f t="shared" ca="1" si="31"/>
        <v>4</v>
      </c>
      <c r="O149">
        <v>2</v>
      </c>
    </row>
    <row r="150" spans="1:15" x14ac:dyDescent="0.35">
      <c r="A150" t="s">
        <v>286</v>
      </c>
      <c r="B150" t="s">
        <v>263</v>
      </c>
      <c r="C150" t="s">
        <v>17</v>
      </c>
      <c r="D150">
        <f t="shared" ca="1" si="27"/>
        <v>23</v>
      </c>
      <c r="E150" t="s">
        <v>28</v>
      </c>
      <c r="F150" t="s">
        <v>37</v>
      </c>
      <c r="H150">
        <f>550</f>
        <v>550</v>
      </c>
      <c r="I150">
        <f t="shared" ca="1" si="33"/>
        <v>285</v>
      </c>
      <c r="J150">
        <f t="shared" ca="1" si="28"/>
        <v>2</v>
      </c>
      <c r="K150" t="str">
        <f t="shared" ca="1" si="29"/>
        <v>Pass</v>
      </c>
      <c r="L150" t="str">
        <f t="shared" ca="1" si="34"/>
        <v>D</v>
      </c>
      <c r="M150">
        <f t="shared" si="30"/>
        <v>2025</v>
      </c>
      <c r="N150">
        <f t="shared" ca="1" si="31"/>
        <v>3</v>
      </c>
      <c r="O150">
        <v>2</v>
      </c>
    </row>
    <row r="151" spans="1:15" x14ac:dyDescent="0.35">
      <c r="A151" t="s">
        <v>287</v>
      </c>
      <c r="B151" t="s">
        <v>198</v>
      </c>
      <c r="C151" t="s">
        <v>12</v>
      </c>
      <c r="D151">
        <f t="shared" ca="1" si="27"/>
        <v>23</v>
      </c>
      <c r="E151" t="s">
        <v>55</v>
      </c>
      <c r="F151" t="s">
        <v>25</v>
      </c>
      <c r="G151">
        <f t="shared" ca="1" si="32"/>
        <v>55</v>
      </c>
      <c r="H151">
        <f>550</f>
        <v>550</v>
      </c>
      <c r="I151">
        <f t="shared" ca="1" si="33"/>
        <v>300</v>
      </c>
      <c r="J151">
        <f t="shared" ca="1" si="28"/>
        <v>2</v>
      </c>
      <c r="K151" t="str">
        <f t="shared" ca="1" si="29"/>
        <v>Pass</v>
      </c>
      <c r="L151" t="str">
        <f t="shared" ca="1" si="34"/>
        <v>D</v>
      </c>
      <c r="M151">
        <f t="shared" si="30"/>
        <v>2025</v>
      </c>
      <c r="N151">
        <f t="shared" ca="1" si="31"/>
        <v>4</v>
      </c>
      <c r="O151">
        <v>2</v>
      </c>
    </row>
    <row r="152" spans="1:15" x14ac:dyDescent="0.35">
      <c r="A152" t="s">
        <v>288</v>
      </c>
      <c r="B152" t="s">
        <v>289</v>
      </c>
      <c r="C152" t="s">
        <v>17</v>
      </c>
      <c r="D152">
        <f t="shared" ca="1" si="27"/>
        <v>24</v>
      </c>
      <c r="E152" t="s">
        <v>28</v>
      </c>
      <c r="F152" t="s">
        <v>60</v>
      </c>
      <c r="G152">
        <f t="shared" ca="1" si="32"/>
        <v>58</v>
      </c>
      <c r="H152">
        <f>550</f>
        <v>550</v>
      </c>
      <c r="I152">
        <f t="shared" ca="1" si="33"/>
        <v>321</v>
      </c>
      <c r="J152">
        <f t="shared" ca="1" si="28"/>
        <v>2</v>
      </c>
      <c r="K152" t="str">
        <f t="shared" ca="1" si="29"/>
        <v>Pass</v>
      </c>
      <c r="L152" t="str">
        <f t="shared" ca="1" si="34"/>
        <v>D</v>
      </c>
      <c r="M152">
        <f t="shared" si="30"/>
        <v>2024</v>
      </c>
      <c r="N152">
        <f t="shared" ca="1" si="31"/>
        <v>5</v>
      </c>
      <c r="O152">
        <v>3</v>
      </c>
    </row>
    <row r="153" spans="1:15" x14ac:dyDescent="0.35">
      <c r="A153" t="s">
        <v>290</v>
      </c>
      <c r="B153" t="s">
        <v>291</v>
      </c>
      <c r="C153" t="s">
        <v>17</v>
      </c>
      <c r="D153">
        <f t="shared" ca="1" si="27"/>
        <v>22</v>
      </c>
      <c r="E153" t="s">
        <v>31</v>
      </c>
      <c r="F153" t="s">
        <v>37</v>
      </c>
      <c r="G153">
        <f t="shared" ca="1" si="32"/>
        <v>86</v>
      </c>
      <c r="H153">
        <f>550</f>
        <v>550</v>
      </c>
      <c r="I153">
        <f t="shared" ca="1" si="33"/>
        <v>472</v>
      </c>
      <c r="J153">
        <f t="shared" ca="1" si="28"/>
        <v>3.5</v>
      </c>
      <c r="K153" t="str">
        <f t="shared" ca="1" si="29"/>
        <v>Pass</v>
      </c>
      <c r="L153" t="str">
        <f t="shared" ca="1" si="34"/>
        <v>A</v>
      </c>
      <c r="M153">
        <f t="shared" si="30"/>
        <v>2026</v>
      </c>
      <c r="N153">
        <f t="shared" ca="1" si="31"/>
        <v>1</v>
      </c>
      <c r="O153">
        <v>1</v>
      </c>
    </row>
    <row r="154" spans="1:15" x14ac:dyDescent="0.35">
      <c r="A154" t="s">
        <v>292</v>
      </c>
      <c r="B154" t="s">
        <v>101</v>
      </c>
      <c r="C154" t="s">
        <v>17</v>
      </c>
      <c r="D154">
        <f t="shared" ca="1" si="27"/>
        <v>24</v>
      </c>
      <c r="E154" t="s">
        <v>46</v>
      </c>
      <c r="F154" t="s">
        <v>22</v>
      </c>
      <c r="G154">
        <f t="shared" ca="1" si="32"/>
        <v>72</v>
      </c>
      <c r="H154">
        <f>550</f>
        <v>550</v>
      </c>
      <c r="I154">
        <f t="shared" ca="1" si="33"/>
        <v>394</v>
      </c>
      <c r="J154">
        <f t="shared" ca="1" si="28"/>
        <v>3</v>
      </c>
      <c r="K154" t="str">
        <f t="shared" ca="1" si="29"/>
        <v>Pass</v>
      </c>
      <c r="L154" t="str">
        <f t="shared" ca="1" si="34"/>
        <v>B</v>
      </c>
      <c r="M154">
        <f t="shared" si="30"/>
        <v>2024</v>
      </c>
      <c r="N154">
        <f t="shared" ca="1" si="31"/>
        <v>6</v>
      </c>
      <c r="O154">
        <v>3</v>
      </c>
    </row>
    <row r="155" spans="1:15" x14ac:dyDescent="0.35">
      <c r="A155" t="s">
        <v>293</v>
      </c>
      <c r="B155" t="s">
        <v>294</v>
      </c>
      <c r="C155" t="s">
        <v>12</v>
      </c>
      <c r="D155">
        <f t="shared" ca="1" si="27"/>
        <v>24</v>
      </c>
      <c r="E155" t="s">
        <v>34</v>
      </c>
      <c r="F155" t="s">
        <v>22</v>
      </c>
      <c r="G155">
        <f t="shared" ca="1" si="32"/>
        <v>97</v>
      </c>
      <c r="H155">
        <f>550</f>
        <v>550</v>
      </c>
      <c r="I155">
        <f t="shared" ca="1" si="33"/>
        <v>532</v>
      </c>
      <c r="J155">
        <f t="shared" ca="1" si="28"/>
        <v>4</v>
      </c>
      <c r="K155" t="str">
        <f t="shared" ca="1" si="29"/>
        <v>Pass</v>
      </c>
      <c r="L155" t="str">
        <f t="shared" ca="1" si="34"/>
        <v>A+</v>
      </c>
      <c r="M155">
        <f t="shared" si="30"/>
        <v>2023</v>
      </c>
      <c r="N155">
        <f t="shared" ca="1" si="31"/>
        <v>7</v>
      </c>
      <c r="O155">
        <v>4</v>
      </c>
    </row>
    <row r="156" spans="1:15" x14ac:dyDescent="0.35">
      <c r="A156" t="s">
        <v>295</v>
      </c>
      <c r="B156" t="s">
        <v>296</v>
      </c>
      <c r="C156" t="s">
        <v>17</v>
      </c>
      <c r="D156">
        <f t="shared" ca="1" si="27"/>
        <v>24</v>
      </c>
      <c r="E156" t="s">
        <v>55</v>
      </c>
      <c r="F156" t="s">
        <v>37</v>
      </c>
      <c r="G156">
        <f t="shared" ca="1" si="32"/>
        <v>96</v>
      </c>
      <c r="H156">
        <f>550</f>
        <v>550</v>
      </c>
      <c r="I156">
        <f t="shared" ca="1" si="33"/>
        <v>529</v>
      </c>
      <c r="J156">
        <f t="shared" ca="1" si="28"/>
        <v>4</v>
      </c>
      <c r="K156" t="str">
        <f t="shared" ca="1" si="29"/>
        <v>Pass</v>
      </c>
      <c r="L156" t="str">
        <f t="shared" ca="1" si="34"/>
        <v>A+</v>
      </c>
      <c r="M156">
        <f t="shared" si="30"/>
        <v>2023</v>
      </c>
      <c r="N156">
        <f t="shared" ca="1" si="31"/>
        <v>7</v>
      </c>
      <c r="O156">
        <v>4</v>
      </c>
    </row>
    <row r="157" spans="1:15" x14ac:dyDescent="0.35">
      <c r="A157" t="s">
        <v>297</v>
      </c>
      <c r="B157" t="s">
        <v>222</v>
      </c>
      <c r="C157" t="s">
        <v>17</v>
      </c>
      <c r="D157">
        <f t="shared" ca="1" si="27"/>
        <v>21</v>
      </c>
      <c r="E157" t="s">
        <v>40</v>
      </c>
      <c r="F157" t="s">
        <v>37</v>
      </c>
      <c r="G157">
        <f t="shared" ca="1" si="32"/>
        <v>63</v>
      </c>
      <c r="H157">
        <f>550</f>
        <v>550</v>
      </c>
      <c r="I157">
        <f t="shared" ca="1" si="33"/>
        <v>347</v>
      </c>
      <c r="J157">
        <f t="shared" ca="1" si="28"/>
        <v>2.5</v>
      </c>
      <c r="K157" t="str">
        <f t="shared" ca="1" si="29"/>
        <v>Pass</v>
      </c>
      <c r="L157" t="str">
        <f t="shared" ca="1" si="34"/>
        <v>C</v>
      </c>
      <c r="M157">
        <f t="shared" si="30"/>
        <v>2026</v>
      </c>
      <c r="N157">
        <f t="shared" ca="1" si="31"/>
        <v>2</v>
      </c>
      <c r="O157">
        <v>1</v>
      </c>
    </row>
    <row r="158" spans="1:15" x14ac:dyDescent="0.35">
      <c r="A158" t="s">
        <v>298</v>
      </c>
      <c r="B158" t="s">
        <v>164</v>
      </c>
      <c r="C158" t="s">
        <v>17</v>
      </c>
      <c r="D158">
        <f t="shared" ca="1" si="27"/>
        <v>24</v>
      </c>
      <c r="E158" t="s">
        <v>40</v>
      </c>
      <c r="F158" t="s">
        <v>71</v>
      </c>
      <c r="G158">
        <f t="shared" ca="1" si="32"/>
        <v>89</v>
      </c>
      <c r="H158">
        <f>550</f>
        <v>550</v>
      </c>
      <c r="I158">
        <f t="shared" ca="1" si="33"/>
        <v>487</v>
      </c>
      <c r="J158">
        <f t="shared" ca="1" si="28"/>
        <v>3.5</v>
      </c>
      <c r="K158" t="str">
        <f t="shared" ca="1" si="29"/>
        <v>Pass</v>
      </c>
      <c r="L158" t="str">
        <f t="shared" ca="1" si="34"/>
        <v>A</v>
      </c>
      <c r="M158">
        <f t="shared" si="30"/>
        <v>2024</v>
      </c>
      <c r="N158">
        <f t="shared" ca="1" si="31"/>
        <v>6</v>
      </c>
      <c r="O158">
        <v>3</v>
      </c>
    </row>
    <row r="159" spans="1:15" x14ac:dyDescent="0.35">
      <c r="A159" t="s">
        <v>299</v>
      </c>
      <c r="B159" t="s">
        <v>218</v>
      </c>
      <c r="C159" t="s">
        <v>12</v>
      </c>
      <c r="D159">
        <f t="shared" ca="1" si="27"/>
        <v>23</v>
      </c>
      <c r="E159" t="s">
        <v>21</v>
      </c>
      <c r="F159" t="s">
        <v>71</v>
      </c>
      <c r="G159">
        <f t="shared" ca="1" si="32"/>
        <v>45</v>
      </c>
      <c r="H159">
        <f>550</f>
        <v>550</v>
      </c>
      <c r="I159">
        <f t="shared" ca="1" si="33"/>
        <v>250</v>
      </c>
      <c r="J159">
        <f t="shared" ca="1" si="28"/>
        <v>1</v>
      </c>
      <c r="K159" t="str">
        <f t="shared" ca="1" si="29"/>
        <v>Pass</v>
      </c>
      <c r="L159" t="str">
        <f t="shared" ca="1" si="34"/>
        <v>F</v>
      </c>
      <c r="M159">
        <f t="shared" si="30"/>
        <v>2024</v>
      </c>
      <c r="N159">
        <f t="shared" ca="1" si="31"/>
        <v>5</v>
      </c>
      <c r="O159">
        <v>3</v>
      </c>
    </row>
    <row r="160" spans="1:15" x14ac:dyDescent="0.35">
      <c r="A160" t="s">
        <v>300</v>
      </c>
      <c r="B160" t="s">
        <v>301</v>
      </c>
      <c r="C160" t="s">
        <v>12</v>
      </c>
      <c r="D160">
        <f t="shared" ca="1" si="27"/>
        <v>24</v>
      </c>
      <c r="E160" t="s">
        <v>28</v>
      </c>
      <c r="F160" t="s">
        <v>71</v>
      </c>
      <c r="G160">
        <f t="shared" ca="1" si="32"/>
        <v>57</v>
      </c>
      <c r="H160">
        <f>550</f>
        <v>550</v>
      </c>
      <c r="I160">
        <f t="shared" ca="1" si="33"/>
        <v>315</v>
      </c>
      <c r="J160">
        <f t="shared" ca="1" si="28"/>
        <v>2</v>
      </c>
      <c r="K160" t="str">
        <f t="shared" ca="1" si="29"/>
        <v>Pass</v>
      </c>
      <c r="L160" t="str">
        <f t="shared" ca="1" si="34"/>
        <v>D</v>
      </c>
      <c r="M160">
        <f t="shared" si="30"/>
        <v>2023</v>
      </c>
      <c r="N160">
        <f t="shared" ca="1" si="31"/>
        <v>8</v>
      </c>
      <c r="O160">
        <v>4</v>
      </c>
    </row>
    <row r="161" spans="1:15" x14ac:dyDescent="0.35">
      <c r="A161" t="s">
        <v>302</v>
      </c>
      <c r="B161" t="s">
        <v>259</v>
      </c>
      <c r="C161" t="s">
        <v>12</v>
      </c>
      <c r="D161">
        <f t="shared" ca="1" si="27"/>
        <v>22</v>
      </c>
      <c r="E161" t="s">
        <v>21</v>
      </c>
      <c r="F161" t="s">
        <v>14</v>
      </c>
      <c r="G161">
        <f t="shared" ca="1" si="32"/>
        <v>81</v>
      </c>
      <c r="H161">
        <f>550</f>
        <v>550</v>
      </c>
      <c r="I161">
        <f t="shared" ca="1" si="33"/>
        <v>446</v>
      </c>
      <c r="J161">
        <f t="shared" ca="1" si="28"/>
        <v>3.5</v>
      </c>
      <c r="K161" t="str">
        <f t="shared" ca="1" si="29"/>
        <v>Pass</v>
      </c>
      <c r="L161" t="str">
        <f t="shared" ca="1" si="34"/>
        <v>A</v>
      </c>
      <c r="M161">
        <f t="shared" si="30"/>
        <v>2025</v>
      </c>
      <c r="N161">
        <f t="shared" ca="1" si="31"/>
        <v>3</v>
      </c>
      <c r="O161">
        <v>2</v>
      </c>
    </row>
    <row r="162" spans="1:15" x14ac:dyDescent="0.35">
      <c r="A162" t="s">
        <v>303</v>
      </c>
      <c r="B162" t="s">
        <v>104</v>
      </c>
      <c r="C162" t="s">
        <v>17</v>
      </c>
      <c r="D162">
        <f t="shared" ref="D162:D193" ca="1" si="35">18+O162+RANDBETWEEN(2,3)</f>
        <v>25</v>
      </c>
      <c r="E162" t="s">
        <v>46</v>
      </c>
      <c r="F162" t="s">
        <v>14</v>
      </c>
      <c r="G162">
        <f t="shared" ca="1" si="32"/>
        <v>84</v>
      </c>
      <c r="H162">
        <f>550</f>
        <v>550</v>
      </c>
      <c r="I162">
        <f t="shared" ca="1" si="33"/>
        <v>463</v>
      </c>
      <c r="J162">
        <f t="shared" ref="J162:J193" ca="1" si="36">IF(I162&gt;=495,4,IF(I162&gt;=440,3.5,IF(I162&gt;=380,3,IF(I162&gt;=330,2.5,IF(I162&gt;=260,2,1)))))</f>
        <v>3.5</v>
      </c>
      <c r="K162" t="str">
        <f t="shared" ref="K162:K193" ca="1" si="37">IF(I162&gt;=250,"Pass", "Fail")</f>
        <v>Pass</v>
      </c>
      <c r="L162" t="str">
        <f t="shared" ca="1" si="34"/>
        <v>A</v>
      </c>
      <c r="M162">
        <f t="shared" ref="M162:M193" si="38">2026-O162+1</f>
        <v>2023</v>
      </c>
      <c r="N162">
        <f t="shared" ref="N162:N193" ca="1" si="39">RANDBETWEEN((O162*2)-1,O162*2)</f>
        <v>7</v>
      </c>
      <c r="O162">
        <v>4</v>
      </c>
    </row>
    <row r="163" spans="1:15" x14ac:dyDescent="0.35">
      <c r="A163" t="s">
        <v>304</v>
      </c>
      <c r="B163" t="s">
        <v>241</v>
      </c>
      <c r="C163" t="s">
        <v>17</v>
      </c>
      <c r="D163">
        <f t="shared" ca="1" si="35"/>
        <v>24</v>
      </c>
      <c r="E163" t="s">
        <v>34</v>
      </c>
      <c r="F163" t="s">
        <v>14</v>
      </c>
      <c r="G163">
        <f t="shared" ca="1" si="32"/>
        <v>92</v>
      </c>
      <c r="H163">
        <f>550</f>
        <v>550</v>
      </c>
      <c r="I163">
        <f t="shared" ca="1" si="33"/>
        <v>507</v>
      </c>
      <c r="J163">
        <f t="shared" ca="1" si="36"/>
        <v>4</v>
      </c>
      <c r="K163" t="str">
        <f t="shared" ca="1" si="37"/>
        <v>Pass</v>
      </c>
      <c r="L163" t="str">
        <f t="shared" ca="1" si="34"/>
        <v>A+</v>
      </c>
      <c r="M163">
        <f t="shared" si="38"/>
        <v>2024</v>
      </c>
      <c r="N163">
        <f t="shared" ca="1" si="39"/>
        <v>5</v>
      </c>
      <c r="O163">
        <v>3</v>
      </c>
    </row>
    <row r="164" spans="1:15" x14ac:dyDescent="0.35">
      <c r="A164" t="s">
        <v>305</v>
      </c>
      <c r="B164" t="s">
        <v>306</v>
      </c>
      <c r="C164" t="s">
        <v>12</v>
      </c>
      <c r="D164">
        <f t="shared" ca="1" si="35"/>
        <v>23</v>
      </c>
      <c r="E164" t="s">
        <v>34</v>
      </c>
      <c r="F164" t="s">
        <v>37</v>
      </c>
      <c r="G164">
        <f t="shared" ca="1" si="32"/>
        <v>62</v>
      </c>
      <c r="H164">
        <f>550</f>
        <v>550</v>
      </c>
      <c r="I164">
        <f t="shared" ca="1" si="33"/>
        <v>339</v>
      </c>
      <c r="J164">
        <f t="shared" ca="1" si="36"/>
        <v>2.5</v>
      </c>
      <c r="K164" t="str">
        <f t="shared" ca="1" si="37"/>
        <v>Pass</v>
      </c>
      <c r="L164" t="str">
        <f t="shared" ca="1" si="34"/>
        <v>C</v>
      </c>
      <c r="M164">
        <f t="shared" si="38"/>
        <v>2024</v>
      </c>
      <c r="N164">
        <f t="shared" ca="1" si="39"/>
        <v>5</v>
      </c>
      <c r="O164">
        <v>3</v>
      </c>
    </row>
    <row r="165" spans="1:15" x14ac:dyDescent="0.35">
      <c r="A165" t="s">
        <v>307</v>
      </c>
      <c r="B165" t="s">
        <v>308</v>
      </c>
      <c r="C165" t="s">
        <v>12</v>
      </c>
      <c r="D165">
        <f t="shared" ca="1" si="35"/>
        <v>23</v>
      </c>
      <c r="E165" t="s">
        <v>40</v>
      </c>
      <c r="F165" t="s">
        <v>25</v>
      </c>
      <c r="G165">
        <f t="shared" ca="1" si="32"/>
        <v>85</v>
      </c>
      <c r="H165">
        <f>550</f>
        <v>550</v>
      </c>
      <c r="I165">
        <f t="shared" ca="1" si="33"/>
        <v>466</v>
      </c>
      <c r="J165">
        <f t="shared" ca="1" si="36"/>
        <v>3.5</v>
      </c>
      <c r="K165" t="str">
        <f t="shared" ca="1" si="37"/>
        <v>Pass</v>
      </c>
      <c r="L165" t="str">
        <f t="shared" ca="1" si="34"/>
        <v>A</v>
      </c>
      <c r="M165">
        <f t="shared" si="38"/>
        <v>2024</v>
      </c>
      <c r="N165">
        <f t="shared" ca="1" si="39"/>
        <v>5</v>
      </c>
      <c r="O165">
        <v>3</v>
      </c>
    </row>
    <row r="166" spans="1:15" x14ac:dyDescent="0.35">
      <c r="A166" t="s">
        <v>309</v>
      </c>
      <c r="B166" t="s">
        <v>310</v>
      </c>
      <c r="C166" t="s">
        <v>17</v>
      </c>
      <c r="D166">
        <f t="shared" ca="1" si="35"/>
        <v>21</v>
      </c>
      <c r="E166" t="s">
        <v>21</v>
      </c>
      <c r="F166" t="s">
        <v>41</v>
      </c>
      <c r="G166">
        <f t="shared" ca="1" si="32"/>
        <v>97</v>
      </c>
      <c r="H166">
        <f>550</f>
        <v>550</v>
      </c>
      <c r="I166">
        <f t="shared" ca="1" si="33"/>
        <v>531</v>
      </c>
      <c r="J166">
        <f t="shared" ca="1" si="36"/>
        <v>4</v>
      </c>
      <c r="K166" t="str">
        <f t="shared" ca="1" si="37"/>
        <v>Pass</v>
      </c>
      <c r="L166" t="str">
        <f t="shared" ca="1" si="34"/>
        <v>A+</v>
      </c>
      <c r="M166">
        <f t="shared" si="38"/>
        <v>2026</v>
      </c>
      <c r="N166">
        <f t="shared" ca="1" si="39"/>
        <v>2</v>
      </c>
      <c r="O166">
        <v>1</v>
      </c>
    </row>
    <row r="167" spans="1:15" x14ac:dyDescent="0.35">
      <c r="A167" t="s">
        <v>311</v>
      </c>
      <c r="B167" t="s">
        <v>308</v>
      </c>
      <c r="C167" t="s">
        <v>12</v>
      </c>
      <c r="D167">
        <f t="shared" ca="1" si="35"/>
        <v>25</v>
      </c>
      <c r="E167" t="s">
        <v>13</v>
      </c>
      <c r="F167" t="s">
        <v>22</v>
      </c>
      <c r="G167">
        <f t="shared" ca="1" si="32"/>
        <v>83</v>
      </c>
      <c r="H167">
        <f>550</f>
        <v>550</v>
      </c>
      <c r="I167">
        <f t="shared" ca="1" si="33"/>
        <v>457</v>
      </c>
      <c r="J167">
        <f t="shared" ca="1" si="36"/>
        <v>3.5</v>
      </c>
      <c r="K167" t="str">
        <f t="shared" ca="1" si="37"/>
        <v>Pass</v>
      </c>
      <c r="L167" t="str">
        <f t="shared" ca="1" si="34"/>
        <v>A</v>
      </c>
      <c r="M167">
        <f t="shared" si="38"/>
        <v>2023</v>
      </c>
      <c r="N167">
        <f t="shared" ca="1" si="39"/>
        <v>7</v>
      </c>
      <c r="O167">
        <v>4</v>
      </c>
    </row>
    <row r="168" spans="1:15" x14ac:dyDescent="0.35">
      <c r="A168" t="s">
        <v>312</v>
      </c>
      <c r="B168" t="s">
        <v>313</v>
      </c>
      <c r="C168" t="s">
        <v>17</v>
      </c>
      <c r="D168">
        <f t="shared" ca="1" si="35"/>
        <v>25</v>
      </c>
      <c r="E168" t="s">
        <v>55</v>
      </c>
      <c r="F168" t="s">
        <v>60</v>
      </c>
      <c r="G168">
        <f t="shared" ca="1" si="32"/>
        <v>49</v>
      </c>
      <c r="H168">
        <f>550</f>
        <v>550</v>
      </c>
      <c r="I168">
        <f t="shared" ca="1" si="33"/>
        <v>271</v>
      </c>
      <c r="J168">
        <f t="shared" ca="1" si="36"/>
        <v>2</v>
      </c>
      <c r="K168" t="str">
        <f t="shared" ca="1" si="37"/>
        <v>Pass</v>
      </c>
      <c r="L168" t="str">
        <f t="shared" ca="1" si="34"/>
        <v>E</v>
      </c>
      <c r="M168">
        <f t="shared" si="38"/>
        <v>2023</v>
      </c>
      <c r="N168">
        <f t="shared" ca="1" si="39"/>
        <v>7</v>
      </c>
      <c r="O168">
        <v>4</v>
      </c>
    </row>
    <row r="169" spans="1:15" x14ac:dyDescent="0.35">
      <c r="A169" t="s">
        <v>314</v>
      </c>
      <c r="B169" t="s">
        <v>279</v>
      </c>
      <c r="C169" t="s">
        <v>17</v>
      </c>
      <c r="D169">
        <f t="shared" ca="1" si="35"/>
        <v>25</v>
      </c>
      <c r="E169" t="s">
        <v>34</v>
      </c>
      <c r="F169" t="s">
        <v>37</v>
      </c>
      <c r="G169">
        <f t="shared" ca="1" si="32"/>
        <v>87</v>
      </c>
      <c r="H169">
        <f>550</f>
        <v>550</v>
      </c>
      <c r="I169">
        <f t="shared" ca="1" si="33"/>
        <v>478</v>
      </c>
      <c r="J169">
        <f t="shared" ca="1" si="36"/>
        <v>3.5</v>
      </c>
      <c r="K169" t="str">
        <f t="shared" ca="1" si="37"/>
        <v>Pass</v>
      </c>
      <c r="L169" t="str">
        <f t="shared" ca="1" si="34"/>
        <v>A</v>
      </c>
      <c r="M169">
        <f t="shared" si="38"/>
        <v>2023</v>
      </c>
      <c r="N169">
        <f t="shared" ca="1" si="39"/>
        <v>8</v>
      </c>
      <c r="O169">
        <v>4</v>
      </c>
    </row>
    <row r="170" spans="1:15" x14ac:dyDescent="0.35">
      <c r="A170" t="s">
        <v>315</v>
      </c>
      <c r="B170" t="s">
        <v>316</v>
      </c>
      <c r="C170" t="s">
        <v>12</v>
      </c>
      <c r="D170">
        <f t="shared" ca="1" si="35"/>
        <v>23</v>
      </c>
      <c r="E170" t="s">
        <v>34</v>
      </c>
      <c r="F170" t="s">
        <v>71</v>
      </c>
      <c r="G170">
        <f t="shared" ca="1" si="32"/>
        <v>46</v>
      </c>
      <c r="H170">
        <f>550</f>
        <v>550</v>
      </c>
      <c r="I170">
        <f t="shared" ca="1" si="33"/>
        <v>251</v>
      </c>
      <c r="J170">
        <f t="shared" ca="1" si="36"/>
        <v>1</v>
      </c>
      <c r="K170" t="str">
        <f t="shared" ca="1" si="37"/>
        <v>Pass</v>
      </c>
      <c r="L170" t="str">
        <f t="shared" ca="1" si="34"/>
        <v>E</v>
      </c>
      <c r="M170">
        <f t="shared" si="38"/>
        <v>2024</v>
      </c>
      <c r="N170">
        <f t="shared" ca="1" si="39"/>
        <v>6</v>
      </c>
      <c r="O170">
        <v>3</v>
      </c>
    </row>
    <row r="171" spans="1:15" x14ac:dyDescent="0.35">
      <c r="A171" t="s">
        <v>317</v>
      </c>
      <c r="B171" t="s">
        <v>104</v>
      </c>
      <c r="C171" t="s">
        <v>17</v>
      </c>
      <c r="D171">
        <f t="shared" ca="1" si="35"/>
        <v>25</v>
      </c>
      <c r="E171" t="s">
        <v>13</v>
      </c>
      <c r="F171" t="s">
        <v>71</v>
      </c>
      <c r="G171">
        <f t="shared" ca="1" si="32"/>
        <v>50</v>
      </c>
      <c r="H171">
        <f>550</f>
        <v>550</v>
      </c>
      <c r="I171">
        <f t="shared" ca="1" si="33"/>
        <v>274</v>
      </c>
      <c r="J171">
        <f t="shared" ca="1" si="36"/>
        <v>2</v>
      </c>
      <c r="K171" t="str">
        <f t="shared" ca="1" si="37"/>
        <v>Pass</v>
      </c>
      <c r="L171" t="str">
        <f t="shared" ca="1" si="34"/>
        <v>E</v>
      </c>
      <c r="M171">
        <f t="shared" si="38"/>
        <v>2023</v>
      </c>
      <c r="N171">
        <f t="shared" ca="1" si="39"/>
        <v>8</v>
      </c>
      <c r="O171">
        <v>4</v>
      </c>
    </row>
    <row r="172" spans="1:15" x14ac:dyDescent="0.35">
      <c r="A172" t="s">
        <v>318</v>
      </c>
      <c r="B172" t="s">
        <v>173</v>
      </c>
      <c r="C172" t="s">
        <v>17</v>
      </c>
      <c r="D172">
        <f t="shared" ca="1" si="35"/>
        <v>25</v>
      </c>
      <c r="E172" t="s">
        <v>363</v>
      </c>
      <c r="F172" t="s">
        <v>14</v>
      </c>
      <c r="G172">
        <f t="shared" ca="1" si="32"/>
        <v>89</v>
      </c>
      <c r="H172">
        <f>550</f>
        <v>550</v>
      </c>
      <c r="I172">
        <f t="shared" ca="1" si="33"/>
        <v>488</v>
      </c>
      <c r="J172">
        <f t="shared" ca="1" si="36"/>
        <v>3.5</v>
      </c>
      <c r="K172" t="str">
        <f t="shared" ca="1" si="37"/>
        <v>Pass</v>
      </c>
      <c r="L172" t="str">
        <f t="shared" ca="1" si="34"/>
        <v>A</v>
      </c>
      <c r="M172">
        <f t="shared" si="38"/>
        <v>2023</v>
      </c>
      <c r="N172">
        <f t="shared" ca="1" si="39"/>
        <v>7</v>
      </c>
      <c r="O172">
        <v>4</v>
      </c>
    </row>
    <row r="173" spans="1:15" x14ac:dyDescent="0.35">
      <c r="A173" t="s">
        <v>319</v>
      </c>
      <c r="B173" t="s">
        <v>320</v>
      </c>
      <c r="C173" t="s">
        <v>12</v>
      </c>
      <c r="D173">
        <f t="shared" ca="1" si="35"/>
        <v>24</v>
      </c>
      <c r="E173" t="s">
        <v>13</v>
      </c>
      <c r="F173" t="s">
        <v>25</v>
      </c>
      <c r="G173">
        <f t="shared" ca="1" si="32"/>
        <v>75</v>
      </c>
      <c r="H173">
        <f>550</f>
        <v>550</v>
      </c>
      <c r="I173">
        <f t="shared" ca="1" si="33"/>
        <v>414</v>
      </c>
      <c r="J173">
        <f t="shared" ca="1" si="36"/>
        <v>3</v>
      </c>
      <c r="K173" t="str">
        <f t="shared" ca="1" si="37"/>
        <v>Pass</v>
      </c>
      <c r="L173" t="str">
        <f t="shared" ca="1" si="34"/>
        <v>B</v>
      </c>
      <c r="M173">
        <f t="shared" si="38"/>
        <v>2024</v>
      </c>
      <c r="N173">
        <f t="shared" ca="1" si="39"/>
        <v>5</v>
      </c>
      <c r="O173">
        <v>3</v>
      </c>
    </row>
    <row r="174" spans="1:15" x14ac:dyDescent="0.35">
      <c r="A174" t="s">
        <v>321</v>
      </c>
      <c r="B174" t="s">
        <v>97</v>
      </c>
      <c r="C174" t="s">
        <v>17</v>
      </c>
      <c r="D174">
        <f t="shared" ca="1" si="35"/>
        <v>23</v>
      </c>
      <c r="E174" t="s">
        <v>21</v>
      </c>
      <c r="F174" t="s">
        <v>22</v>
      </c>
      <c r="G174">
        <f t="shared" ca="1" si="32"/>
        <v>93</v>
      </c>
      <c r="H174">
        <f>550</f>
        <v>550</v>
      </c>
      <c r="I174">
        <f t="shared" ca="1" si="33"/>
        <v>510</v>
      </c>
      <c r="J174">
        <f t="shared" ca="1" si="36"/>
        <v>4</v>
      </c>
      <c r="K174" t="str">
        <f t="shared" ca="1" si="37"/>
        <v>Pass</v>
      </c>
      <c r="L174" t="str">
        <f t="shared" ca="1" si="34"/>
        <v>A+</v>
      </c>
      <c r="M174">
        <f t="shared" si="38"/>
        <v>2025</v>
      </c>
      <c r="N174">
        <f t="shared" ca="1" si="39"/>
        <v>4</v>
      </c>
      <c r="O174">
        <v>2</v>
      </c>
    </row>
    <row r="175" spans="1:15" x14ac:dyDescent="0.35">
      <c r="A175" t="s">
        <v>322</v>
      </c>
      <c r="B175" t="s">
        <v>83</v>
      </c>
      <c r="C175" t="s">
        <v>17</v>
      </c>
      <c r="D175">
        <f t="shared" ca="1" si="35"/>
        <v>24</v>
      </c>
      <c r="E175" t="s">
        <v>21</v>
      </c>
      <c r="F175" t="s">
        <v>14</v>
      </c>
      <c r="G175">
        <f t="shared" ca="1" si="32"/>
        <v>82</v>
      </c>
      <c r="H175">
        <f>550</f>
        <v>550</v>
      </c>
      <c r="I175">
        <f t="shared" ca="1" si="33"/>
        <v>451</v>
      </c>
      <c r="J175">
        <f t="shared" ca="1" si="36"/>
        <v>3.5</v>
      </c>
      <c r="K175" t="str">
        <f t="shared" ca="1" si="37"/>
        <v>Pass</v>
      </c>
      <c r="L175" t="str">
        <f t="shared" ca="1" si="34"/>
        <v>A</v>
      </c>
      <c r="M175">
        <f t="shared" si="38"/>
        <v>2023</v>
      </c>
      <c r="N175">
        <f t="shared" ca="1" si="39"/>
        <v>8</v>
      </c>
      <c r="O175">
        <v>4</v>
      </c>
    </row>
    <row r="176" spans="1:15" x14ac:dyDescent="0.35">
      <c r="A176" t="s">
        <v>323</v>
      </c>
      <c r="B176" t="s">
        <v>324</v>
      </c>
      <c r="C176" t="s">
        <v>17</v>
      </c>
      <c r="D176">
        <f t="shared" ca="1" si="35"/>
        <v>23</v>
      </c>
      <c r="E176" t="s">
        <v>55</v>
      </c>
      <c r="F176" t="s">
        <v>60</v>
      </c>
      <c r="G176">
        <f t="shared" ca="1" si="32"/>
        <v>49</v>
      </c>
      <c r="H176">
        <f>550</f>
        <v>550</v>
      </c>
      <c r="I176">
        <f t="shared" ca="1" si="33"/>
        <v>272</v>
      </c>
      <c r="J176">
        <f t="shared" ca="1" si="36"/>
        <v>2</v>
      </c>
      <c r="K176" t="str">
        <f t="shared" ca="1" si="37"/>
        <v>Pass</v>
      </c>
      <c r="L176" t="str">
        <f t="shared" ca="1" si="34"/>
        <v>E</v>
      </c>
      <c r="M176">
        <f t="shared" si="38"/>
        <v>2025</v>
      </c>
      <c r="N176">
        <f t="shared" ca="1" si="39"/>
        <v>4</v>
      </c>
      <c r="O176">
        <v>2</v>
      </c>
    </row>
    <row r="177" spans="1:15" x14ac:dyDescent="0.35">
      <c r="A177" t="s">
        <v>325</v>
      </c>
      <c r="B177" t="s">
        <v>158</v>
      </c>
      <c r="C177" t="s">
        <v>12</v>
      </c>
      <c r="D177">
        <f t="shared" ca="1" si="35"/>
        <v>24</v>
      </c>
      <c r="E177" t="s">
        <v>28</v>
      </c>
      <c r="F177" t="s">
        <v>60</v>
      </c>
      <c r="G177">
        <f t="shared" ca="1" si="32"/>
        <v>59</v>
      </c>
      <c r="H177">
        <f>550</f>
        <v>550</v>
      </c>
      <c r="I177">
        <f t="shared" ca="1" si="33"/>
        <v>323</v>
      </c>
      <c r="J177">
        <f t="shared" ca="1" si="36"/>
        <v>2</v>
      </c>
      <c r="K177" t="str">
        <f t="shared" ca="1" si="37"/>
        <v>Pass</v>
      </c>
      <c r="L177" t="str">
        <f t="shared" ca="1" si="34"/>
        <v>D</v>
      </c>
      <c r="M177">
        <f t="shared" si="38"/>
        <v>2023</v>
      </c>
      <c r="N177">
        <f t="shared" ca="1" si="39"/>
        <v>8</v>
      </c>
      <c r="O177">
        <v>4</v>
      </c>
    </row>
    <row r="178" spans="1:15" x14ac:dyDescent="0.35">
      <c r="A178" t="s">
        <v>326</v>
      </c>
      <c r="B178" t="s">
        <v>192</v>
      </c>
      <c r="C178" t="s">
        <v>17</v>
      </c>
      <c r="D178">
        <f t="shared" ca="1" si="35"/>
        <v>22</v>
      </c>
      <c r="E178" t="s">
        <v>34</v>
      </c>
      <c r="F178" t="s">
        <v>14</v>
      </c>
      <c r="G178">
        <f t="shared" ca="1" si="32"/>
        <v>81</v>
      </c>
      <c r="H178">
        <f>550</f>
        <v>550</v>
      </c>
      <c r="I178">
        <f t="shared" ca="1" si="33"/>
        <v>445</v>
      </c>
      <c r="J178">
        <f t="shared" ca="1" si="36"/>
        <v>3.5</v>
      </c>
      <c r="K178" t="str">
        <f t="shared" ca="1" si="37"/>
        <v>Pass</v>
      </c>
      <c r="L178" t="str">
        <f t="shared" ca="1" si="34"/>
        <v>A</v>
      </c>
      <c r="M178">
        <f t="shared" si="38"/>
        <v>2025</v>
      </c>
      <c r="N178">
        <f t="shared" ca="1" si="39"/>
        <v>4</v>
      </c>
      <c r="O178">
        <v>2</v>
      </c>
    </row>
    <row r="179" spans="1:15" x14ac:dyDescent="0.35">
      <c r="A179" t="s">
        <v>327</v>
      </c>
      <c r="B179" t="s">
        <v>150</v>
      </c>
      <c r="C179" t="s">
        <v>12</v>
      </c>
      <c r="D179">
        <f t="shared" ca="1" si="35"/>
        <v>25</v>
      </c>
      <c r="E179" t="s">
        <v>21</v>
      </c>
      <c r="F179" t="s">
        <v>41</v>
      </c>
      <c r="G179">
        <f t="shared" ca="1" si="32"/>
        <v>62</v>
      </c>
      <c r="H179">
        <f>550</f>
        <v>550</v>
      </c>
      <c r="I179">
        <f t="shared" ca="1" si="33"/>
        <v>341</v>
      </c>
      <c r="J179">
        <f t="shared" ca="1" si="36"/>
        <v>2.5</v>
      </c>
      <c r="K179" t="str">
        <f t="shared" ca="1" si="37"/>
        <v>Pass</v>
      </c>
      <c r="L179" t="str">
        <f t="shared" ca="1" si="34"/>
        <v>C</v>
      </c>
      <c r="M179">
        <f t="shared" si="38"/>
        <v>2023</v>
      </c>
      <c r="N179">
        <f t="shared" ca="1" si="39"/>
        <v>7</v>
      </c>
      <c r="O179">
        <v>4</v>
      </c>
    </row>
    <row r="180" spans="1:15" x14ac:dyDescent="0.35">
      <c r="A180" t="s">
        <v>328</v>
      </c>
      <c r="B180" t="s">
        <v>329</v>
      </c>
      <c r="C180" t="s">
        <v>17</v>
      </c>
      <c r="D180">
        <f t="shared" ca="1" si="35"/>
        <v>23</v>
      </c>
      <c r="E180" t="s">
        <v>34</v>
      </c>
      <c r="F180" t="s">
        <v>25</v>
      </c>
      <c r="G180">
        <f t="shared" ca="1" si="32"/>
        <v>52</v>
      </c>
      <c r="H180">
        <f>550</f>
        <v>550</v>
      </c>
      <c r="I180">
        <f t="shared" ca="1" si="33"/>
        <v>288</v>
      </c>
      <c r="J180">
        <f t="shared" ca="1" si="36"/>
        <v>2</v>
      </c>
      <c r="K180" t="str">
        <f t="shared" ca="1" si="37"/>
        <v>Pass</v>
      </c>
      <c r="L180" t="str">
        <f t="shared" ca="1" si="34"/>
        <v>D</v>
      </c>
      <c r="M180">
        <f t="shared" si="38"/>
        <v>2024</v>
      </c>
      <c r="N180">
        <f t="shared" ca="1" si="39"/>
        <v>6</v>
      </c>
      <c r="O180">
        <v>3</v>
      </c>
    </row>
    <row r="181" spans="1:15" x14ac:dyDescent="0.35">
      <c r="A181" t="s">
        <v>330</v>
      </c>
      <c r="B181" t="s">
        <v>331</v>
      </c>
      <c r="C181" t="s">
        <v>12</v>
      </c>
      <c r="D181">
        <f t="shared" ca="1" si="35"/>
        <v>22</v>
      </c>
      <c r="E181" t="s">
        <v>40</v>
      </c>
      <c r="F181" t="s">
        <v>37</v>
      </c>
      <c r="G181">
        <f t="shared" ca="1" si="32"/>
        <v>50</v>
      </c>
      <c r="H181">
        <f>550</f>
        <v>550</v>
      </c>
      <c r="I181">
        <f t="shared" ca="1" si="33"/>
        <v>275</v>
      </c>
      <c r="J181">
        <f t="shared" ca="1" si="36"/>
        <v>2</v>
      </c>
      <c r="K181" t="str">
        <f t="shared" ca="1" si="37"/>
        <v>Pass</v>
      </c>
      <c r="L181" t="str">
        <f t="shared" ca="1" si="34"/>
        <v>D</v>
      </c>
      <c r="M181">
        <f t="shared" si="38"/>
        <v>2026</v>
      </c>
      <c r="N181">
        <f t="shared" ca="1" si="39"/>
        <v>2</v>
      </c>
      <c r="O181">
        <v>1</v>
      </c>
    </row>
    <row r="182" spans="1:15" x14ac:dyDescent="0.35">
      <c r="A182" t="s">
        <v>332</v>
      </c>
      <c r="B182" t="s">
        <v>333</v>
      </c>
      <c r="C182" t="s">
        <v>17</v>
      </c>
      <c r="D182">
        <f t="shared" ca="1" si="35"/>
        <v>22</v>
      </c>
      <c r="E182" t="s">
        <v>40</v>
      </c>
      <c r="F182" t="s">
        <v>71</v>
      </c>
      <c r="G182">
        <f t="shared" ca="1" si="32"/>
        <v>97</v>
      </c>
      <c r="H182">
        <f>550</f>
        <v>550</v>
      </c>
      <c r="I182">
        <f t="shared" ca="1" si="33"/>
        <v>534</v>
      </c>
      <c r="J182">
        <f t="shared" ca="1" si="36"/>
        <v>4</v>
      </c>
      <c r="K182" t="str">
        <f t="shared" ca="1" si="37"/>
        <v>Pass</v>
      </c>
      <c r="L182" t="str">
        <f t="shared" ca="1" si="34"/>
        <v>A+</v>
      </c>
      <c r="M182">
        <f t="shared" si="38"/>
        <v>2025</v>
      </c>
      <c r="N182">
        <f t="shared" ca="1" si="39"/>
        <v>4</v>
      </c>
      <c r="O182">
        <v>2</v>
      </c>
    </row>
    <row r="183" spans="1:15" x14ac:dyDescent="0.35">
      <c r="A183" t="s">
        <v>334</v>
      </c>
      <c r="B183" t="s">
        <v>272</v>
      </c>
      <c r="C183" t="s">
        <v>17</v>
      </c>
      <c r="D183">
        <f t="shared" ca="1" si="35"/>
        <v>22</v>
      </c>
      <c r="E183" t="s">
        <v>40</v>
      </c>
      <c r="F183" t="s">
        <v>37</v>
      </c>
      <c r="G183">
        <f t="shared" ca="1" si="32"/>
        <v>64</v>
      </c>
      <c r="H183">
        <f>550</f>
        <v>550</v>
      </c>
      <c r="I183">
        <f t="shared" ca="1" si="33"/>
        <v>353</v>
      </c>
      <c r="J183">
        <f t="shared" ca="1" si="36"/>
        <v>2.5</v>
      </c>
      <c r="K183" t="str">
        <f t="shared" ca="1" si="37"/>
        <v>Pass</v>
      </c>
      <c r="L183" t="str">
        <f t="shared" ca="1" si="34"/>
        <v>C</v>
      </c>
      <c r="M183">
        <f t="shared" si="38"/>
        <v>2025</v>
      </c>
      <c r="N183">
        <f t="shared" ca="1" si="39"/>
        <v>4</v>
      </c>
      <c r="O183">
        <v>2</v>
      </c>
    </row>
    <row r="184" spans="1:15" x14ac:dyDescent="0.35">
      <c r="A184" t="s">
        <v>335</v>
      </c>
      <c r="B184" t="s">
        <v>336</v>
      </c>
      <c r="C184" t="s">
        <v>12</v>
      </c>
      <c r="D184">
        <f t="shared" ca="1" si="35"/>
        <v>22</v>
      </c>
      <c r="E184" t="s">
        <v>34</v>
      </c>
      <c r="F184" t="s">
        <v>18</v>
      </c>
      <c r="G184">
        <f t="shared" ca="1" si="32"/>
        <v>90</v>
      </c>
      <c r="H184">
        <f>550</f>
        <v>550</v>
      </c>
      <c r="I184">
        <f t="shared" ca="1" si="33"/>
        <v>496</v>
      </c>
      <c r="J184">
        <f t="shared" ca="1" si="36"/>
        <v>4</v>
      </c>
      <c r="K184" t="str">
        <f t="shared" ca="1" si="37"/>
        <v>Pass</v>
      </c>
      <c r="L184" t="str">
        <f t="shared" ca="1" si="34"/>
        <v>A+</v>
      </c>
      <c r="M184">
        <f t="shared" si="38"/>
        <v>2026</v>
      </c>
      <c r="N184">
        <f t="shared" ca="1" si="39"/>
        <v>2</v>
      </c>
      <c r="O184">
        <v>1</v>
      </c>
    </row>
    <row r="185" spans="1:15" x14ac:dyDescent="0.35">
      <c r="A185" t="s">
        <v>337</v>
      </c>
      <c r="B185" t="s">
        <v>310</v>
      </c>
      <c r="C185" t="s">
        <v>17</v>
      </c>
      <c r="D185">
        <f t="shared" ca="1" si="35"/>
        <v>21</v>
      </c>
      <c r="E185" t="s">
        <v>34</v>
      </c>
      <c r="F185" t="s">
        <v>71</v>
      </c>
      <c r="G185">
        <f t="shared" ca="1" si="32"/>
        <v>61</v>
      </c>
      <c r="H185">
        <f>550</f>
        <v>550</v>
      </c>
      <c r="I185">
        <f t="shared" ca="1" si="33"/>
        <v>338</v>
      </c>
      <c r="J185">
        <f t="shared" ca="1" si="36"/>
        <v>2.5</v>
      </c>
      <c r="K185" t="str">
        <f t="shared" ca="1" si="37"/>
        <v>Pass</v>
      </c>
      <c r="L185" t="str">
        <f t="shared" ca="1" si="34"/>
        <v>C</v>
      </c>
      <c r="M185">
        <f t="shared" si="38"/>
        <v>2026</v>
      </c>
      <c r="N185">
        <f t="shared" ca="1" si="39"/>
        <v>2</v>
      </c>
      <c r="O185">
        <v>1</v>
      </c>
    </row>
    <row r="186" spans="1:15" x14ac:dyDescent="0.35">
      <c r="A186" t="s">
        <v>338</v>
      </c>
      <c r="B186" t="s">
        <v>106</v>
      </c>
      <c r="C186" t="s">
        <v>17</v>
      </c>
      <c r="D186">
        <f t="shared" ca="1" si="35"/>
        <v>23</v>
      </c>
      <c r="E186" t="s">
        <v>34</v>
      </c>
      <c r="F186" t="s">
        <v>41</v>
      </c>
      <c r="G186">
        <f t="shared" ca="1" si="32"/>
        <v>94</v>
      </c>
      <c r="H186">
        <f>550</f>
        <v>550</v>
      </c>
      <c r="I186">
        <f t="shared" ca="1" si="33"/>
        <v>517</v>
      </c>
      <c r="J186">
        <f t="shared" ca="1" si="36"/>
        <v>4</v>
      </c>
      <c r="K186" t="str">
        <f t="shared" ca="1" si="37"/>
        <v>Pass</v>
      </c>
      <c r="L186" t="str">
        <f t="shared" ca="1" si="34"/>
        <v>A+</v>
      </c>
      <c r="M186">
        <f t="shared" si="38"/>
        <v>2024</v>
      </c>
      <c r="N186">
        <f t="shared" ca="1" si="39"/>
        <v>5</v>
      </c>
      <c r="O186">
        <v>3</v>
      </c>
    </row>
    <row r="187" spans="1:15" x14ac:dyDescent="0.35">
      <c r="A187" t="s">
        <v>339</v>
      </c>
      <c r="B187" t="s">
        <v>73</v>
      </c>
      <c r="C187" t="s">
        <v>12</v>
      </c>
      <c r="D187">
        <f t="shared" ca="1" si="35"/>
        <v>23</v>
      </c>
      <c r="E187" t="s">
        <v>21</v>
      </c>
      <c r="F187" t="s">
        <v>22</v>
      </c>
      <c r="G187">
        <f t="shared" ca="1" si="32"/>
        <v>87</v>
      </c>
      <c r="H187">
        <f>550</f>
        <v>550</v>
      </c>
      <c r="I187">
        <f t="shared" ca="1" si="33"/>
        <v>479</v>
      </c>
      <c r="J187">
        <f t="shared" ca="1" si="36"/>
        <v>3.5</v>
      </c>
      <c r="K187" t="str">
        <f t="shared" ca="1" si="37"/>
        <v>Pass</v>
      </c>
      <c r="L187" t="str">
        <f t="shared" ca="1" si="34"/>
        <v>A</v>
      </c>
      <c r="M187">
        <f t="shared" si="38"/>
        <v>2024</v>
      </c>
      <c r="N187">
        <f t="shared" ca="1" si="39"/>
        <v>6</v>
      </c>
      <c r="O187">
        <v>3</v>
      </c>
    </row>
    <row r="188" spans="1:15" x14ac:dyDescent="0.35">
      <c r="A188" t="s">
        <v>340</v>
      </c>
      <c r="B188" t="s">
        <v>142</v>
      </c>
      <c r="C188" t="s">
        <v>17</v>
      </c>
      <c r="D188">
        <f t="shared" ca="1" si="35"/>
        <v>24</v>
      </c>
      <c r="E188" t="s">
        <v>28</v>
      </c>
      <c r="F188" t="s">
        <v>71</v>
      </c>
      <c r="G188">
        <f t="shared" ca="1" si="32"/>
        <v>93</v>
      </c>
      <c r="H188">
        <f>550</f>
        <v>550</v>
      </c>
      <c r="I188">
        <f t="shared" ca="1" si="33"/>
        <v>510</v>
      </c>
      <c r="J188">
        <f t="shared" ca="1" si="36"/>
        <v>4</v>
      </c>
      <c r="K188" t="str">
        <f t="shared" ca="1" si="37"/>
        <v>Pass</v>
      </c>
      <c r="L188" t="str">
        <f t="shared" ca="1" si="34"/>
        <v>A+</v>
      </c>
      <c r="M188">
        <f t="shared" si="38"/>
        <v>2024</v>
      </c>
      <c r="N188">
        <f t="shared" ca="1" si="39"/>
        <v>5</v>
      </c>
      <c r="O188">
        <v>3</v>
      </c>
    </row>
    <row r="189" spans="1:15" x14ac:dyDescent="0.35">
      <c r="A189" t="s">
        <v>341</v>
      </c>
      <c r="B189" t="s">
        <v>342</v>
      </c>
      <c r="C189" t="s">
        <v>12</v>
      </c>
      <c r="D189">
        <f t="shared" ca="1" si="35"/>
        <v>23</v>
      </c>
      <c r="E189" t="s">
        <v>13</v>
      </c>
      <c r="F189" t="s">
        <v>22</v>
      </c>
      <c r="G189">
        <f t="shared" ca="1" si="32"/>
        <v>99</v>
      </c>
      <c r="H189">
        <f>550</f>
        <v>550</v>
      </c>
      <c r="I189">
        <f t="shared" ca="1" si="33"/>
        <v>547</v>
      </c>
      <c r="J189">
        <f t="shared" ca="1" si="36"/>
        <v>4</v>
      </c>
      <c r="K189" t="str">
        <f t="shared" ca="1" si="37"/>
        <v>Pass</v>
      </c>
      <c r="L189" t="str">
        <f t="shared" ca="1" si="34"/>
        <v>A+</v>
      </c>
      <c r="M189">
        <f t="shared" si="38"/>
        <v>2025</v>
      </c>
      <c r="N189">
        <f t="shared" ca="1" si="39"/>
        <v>3</v>
      </c>
      <c r="O189">
        <v>2</v>
      </c>
    </row>
    <row r="190" spans="1:15" x14ac:dyDescent="0.35">
      <c r="A190" t="s">
        <v>343</v>
      </c>
      <c r="B190" t="s">
        <v>239</v>
      </c>
      <c r="C190" t="s">
        <v>12</v>
      </c>
      <c r="D190">
        <f t="shared" ca="1" si="35"/>
        <v>23</v>
      </c>
      <c r="E190" t="s">
        <v>13</v>
      </c>
      <c r="F190" t="s">
        <v>41</v>
      </c>
      <c r="G190">
        <f t="shared" ca="1" si="32"/>
        <v>93</v>
      </c>
      <c r="H190">
        <f>550</f>
        <v>550</v>
      </c>
      <c r="I190">
        <f t="shared" ca="1" si="33"/>
        <v>510</v>
      </c>
      <c r="J190">
        <f t="shared" ca="1" si="36"/>
        <v>4</v>
      </c>
      <c r="K190" t="str">
        <f t="shared" ca="1" si="37"/>
        <v>Pass</v>
      </c>
      <c r="L190" t="str">
        <f t="shared" ca="1" si="34"/>
        <v>A+</v>
      </c>
      <c r="M190">
        <f t="shared" si="38"/>
        <v>2025</v>
      </c>
      <c r="N190">
        <f t="shared" ca="1" si="39"/>
        <v>3</v>
      </c>
      <c r="O190">
        <v>2</v>
      </c>
    </row>
    <row r="191" spans="1:15" x14ac:dyDescent="0.35">
      <c r="A191" t="s">
        <v>344</v>
      </c>
      <c r="B191" t="s">
        <v>345</v>
      </c>
      <c r="C191" t="s">
        <v>12</v>
      </c>
      <c r="D191">
        <f t="shared" ca="1" si="35"/>
        <v>23</v>
      </c>
      <c r="E191" t="s">
        <v>46</v>
      </c>
      <c r="F191" t="s">
        <v>14</v>
      </c>
      <c r="G191">
        <f t="shared" ca="1" si="32"/>
        <v>75</v>
      </c>
      <c r="H191">
        <f>550</f>
        <v>550</v>
      </c>
      <c r="I191">
        <f t="shared" ca="1" si="33"/>
        <v>412</v>
      </c>
      <c r="J191">
        <f t="shared" ca="1" si="36"/>
        <v>3</v>
      </c>
      <c r="K191" t="str">
        <f t="shared" ca="1" si="37"/>
        <v>Pass</v>
      </c>
      <c r="L191" t="str">
        <f t="shared" ca="1" si="34"/>
        <v>B</v>
      </c>
      <c r="M191">
        <f t="shared" si="38"/>
        <v>2025</v>
      </c>
      <c r="N191">
        <f t="shared" ca="1" si="39"/>
        <v>3</v>
      </c>
      <c r="O191">
        <v>2</v>
      </c>
    </row>
    <row r="192" spans="1:15" x14ac:dyDescent="0.35">
      <c r="A192" t="s">
        <v>346</v>
      </c>
      <c r="B192" t="s">
        <v>226</v>
      </c>
      <c r="C192" t="s">
        <v>17</v>
      </c>
      <c r="D192">
        <f t="shared" ca="1" si="35"/>
        <v>23</v>
      </c>
      <c r="E192" t="s">
        <v>34</v>
      </c>
      <c r="F192" t="s">
        <v>18</v>
      </c>
      <c r="G192">
        <f t="shared" ca="1" si="32"/>
        <v>71</v>
      </c>
      <c r="H192">
        <f>550</f>
        <v>550</v>
      </c>
      <c r="I192">
        <f t="shared" ca="1" si="33"/>
        <v>389</v>
      </c>
      <c r="J192">
        <f t="shared" ca="1" si="36"/>
        <v>3</v>
      </c>
      <c r="K192" t="str">
        <f t="shared" ca="1" si="37"/>
        <v>Pass</v>
      </c>
      <c r="L192" t="str">
        <f t="shared" ca="1" si="34"/>
        <v>B</v>
      </c>
      <c r="M192">
        <f t="shared" si="38"/>
        <v>2024</v>
      </c>
      <c r="N192">
        <f t="shared" ca="1" si="39"/>
        <v>6</v>
      </c>
      <c r="O192">
        <v>3</v>
      </c>
    </row>
    <row r="193" spans="1:15" x14ac:dyDescent="0.35">
      <c r="A193" t="s">
        <v>347</v>
      </c>
      <c r="B193" t="s">
        <v>348</v>
      </c>
      <c r="C193" t="s">
        <v>12</v>
      </c>
      <c r="D193">
        <f t="shared" ca="1" si="35"/>
        <v>23</v>
      </c>
      <c r="E193" t="s">
        <v>28</v>
      </c>
      <c r="F193" t="s">
        <v>14</v>
      </c>
      <c r="G193">
        <f t="shared" ca="1" si="32"/>
        <v>79</v>
      </c>
      <c r="H193">
        <f>550</f>
        <v>550</v>
      </c>
      <c r="I193">
        <f t="shared" ca="1" si="33"/>
        <v>436</v>
      </c>
      <c r="J193">
        <f t="shared" ca="1" si="36"/>
        <v>3</v>
      </c>
      <c r="K193" t="str">
        <f t="shared" ca="1" si="37"/>
        <v>Pass</v>
      </c>
      <c r="L193" t="str">
        <f t="shared" ca="1" si="34"/>
        <v>B</v>
      </c>
      <c r="M193">
        <f t="shared" si="38"/>
        <v>2025</v>
      </c>
      <c r="N193">
        <f t="shared" ca="1" si="39"/>
        <v>4</v>
      </c>
      <c r="O193">
        <v>2</v>
      </c>
    </row>
    <row r="194" spans="1:15" x14ac:dyDescent="0.35">
      <c r="A194" t="s">
        <v>349</v>
      </c>
      <c r="B194" t="s">
        <v>146</v>
      </c>
      <c r="C194" t="s">
        <v>12</v>
      </c>
      <c r="D194">
        <f t="shared" ref="D194:D201" ca="1" si="40">18+O194+RANDBETWEEN(2,3)</f>
        <v>24</v>
      </c>
      <c r="E194" t="s">
        <v>34</v>
      </c>
      <c r="F194" t="s">
        <v>14</v>
      </c>
      <c r="G194">
        <f t="shared" si="32"/>
        <v>35</v>
      </c>
      <c r="H194">
        <f>550</f>
        <v>550</v>
      </c>
      <c r="I194">
        <v>190</v>
      </c>
      <c r="J194">
        <f t="shared" ref="J194:J201" si="41">IF(I194&gt;=495,4,IF(I194&gt;=440,3.5,IF(I194&gt;=380,3,IF(I194&gt;=330,2.5,IF(I194&gt;=260,2,1)))))</f>
        <v>1</v>
      </c>
      <c r="K194" t="str">
        <f t="shared" ref="K194:K201" si="42">IF(I194&gt;=250,"Pass", "Fail")</f>
        <v>Fail</v>
      </c>
      <c r="L194" t="str">
        <f t="shared" si="34"/>
        <v>F</v>
      </c>
      <c r="M194">
        <f t="shared" ref="M194:M201" si="43">2026-O194+1</f>
        <v>2024</v>
      </c>
      <c r="N194">
        <f t="shared" ref="N194:N201" ca="1" si="44">RANDBETWEEN((O194*2)-1,O194*2)</f>
        <v>5</v>
      </c>
      <c r="O194">
        <v>3</v>
      </c>
    </row>
    <row r="195" spans="1:15" x14ac:dyDescent="0.35">
      <c r="A195" t="s">
        <v>350</v>
      </c>
      <c r="B195" t="s">
        <v>196</v>
      </c>
      <c r="C195" t="s">
        <v>17</v>
      </c>
      <c r="D195">
        <f t="shared" ca="1" si="40"/>
        <v>23</v>
      </c>
      <c r="E195" t="s">
        <v>21</v>
      </c>
      <c r="F195" t="s">
        <v>14</v>
      </c>
      <c r="G195">
        <f t="shared" ref="G195:G201" ca="1" si="45">ROUND((I195/550)*100,0)</f>
        <v>59</v>
      </c>
      <c r="H195">
        <f>550</f>
        <v>550</v>
      </c>
      <c r="I195">
        <f t="shared" ref="I195:I200" ca="1" si="46">RANDBETWEEN(250,550)</f>
        <v>324</v>
      </c>
      <c r="J195">
        <f t="shared" ca="1" si="41"/>
        <v>2</v>
      </c>
      <c r="K195" t="str">
        <f t="shared" ca="1" si="42"/>
        <v>Pass</v>
      </c>
      <c r="L195" t="str">
        <f t="shared" ref="L195:L201" ca="1" si="47">IF(I195&gt;=495,"A+",IF(I195&gt;=440,"A",IF(I195&gt;=385,"B",IF(I195&gt;=330,"C",IF(I195&gt;=275,"D",IF(I195&gt;=251,"E","F"))))))</f>
        <v>D</v>
      </c>
      <c r="M195">
        <f t="shared" si="43"/>
        <v>2025</v>
      </c>
      <c r="N195">
        <f t="shared" ca="1" si="44"/>
        <v>3</v>
      </c>
      <c r="O195">
        <v>2</v>
      </c>
    </row>
    <row r="196" spans="1:15" x14ac:dyDescent="0.35">
      <c r="A196" t="s">
        <v>351</v>
      </c>
      <c r="B196" t="s">
        <v>73</v>
      </c>
      <c r="C196" t="s">
        <v>12</v>
      </c>
      <c r="D196">
        <f t="shared" ca="1" si="40"/>
        <v>23</v>
      </c>
      <c r="E196" t="s">
        <v>46</v>
      </c>
      <c r="F196" t="s">
        <v>22</v>
      </c>
      <c r="G196">
        <f t="shared" ca="1" si="45"/>
        <v>95</v>
      </c>
      <c r="H196">
        <f>550</f>
        <v>550</v>
      </c>
      <c r="I196">
        <f t="shared" ca="1" si="46"/>
        <v>525</v>
      </c>
      <c r="J196">
        <f t="shared" ca="1" si="41"/>
        <v>4</v>
      </c>
      <c r="K196" t="str">
        <f t="shared" ca="1" si="42"/>
        <v>Pass</v>
      </c>
      <c r="L196" t="str">
        <f t="shared" ca="1" si="47"/>
        <v>A+</v>
      </c>
      <c r="M196">
        <f t="shared" si="43"/>
        <v>2024</v>
      </c>
      <c r="N196">
        <f t="shared" ca="1" si="44"/>
        <v>5</v>
      </c>
      <c r="O196">
        <v>3</v>
      </c>
    </row>
    <row r="197" spans="1:15" x14ac:dyDescent="0.35">
      <c r="A197" t="s">
        <v>352</v>
      </c>
      <c r="B197" t="s">
        <v>75</v>
      </c>
      <c r="C197" t="s">
        <v>12</v>
      </c>
      <c r="D197">
        <f t="shared" ca="1" si="40"/>
        <v>22</v>
      </c>
      <c r="E197" t="s">
        <v>21</v>
      </c>
      <c r="F197" t="s">
        <v>25</v>
      </c>
      <c r="G197">
        <f t="shared" ca="1" si="45"/>
        <v>93</v>
      </c>
      <c r="H197">
        <f>550</f>
        <v>550</v>
      </c>
      <c r="I197">
        <f t="shared" ca="1" si="46"/>
        <v>509</v>
      </c>
      <c r="J197">
        <f t="shared" ca="1" si="41"/>
        <v>4</v>
      </c>
      <c r="K197" t="str">
        <f t="shared" ca="1" si="42"/>
        <v>Pass</v>
      </c>
      <c r="L197" t="str">
        <f t="shared" ca="1" si="47"/>
        <v>A+</v>
      </c>
      <c r="M197">
        <f t="shared" si="43"/>
        <v>2025</v>
      </c>
      <c r="N197">
        <f t="shared" ca="1" si="44"/>
        <v>3</v>
      </c>
      <c r="O197">
        <v>2</v>
      </c>
    </row>
    <row r="198" spans="1:15" x14ac:dyDescent="0.35">
      <c r="A198" t="s">
        <v>353</v>
      </c>
      <c r="B198" t="s">
        <v>106</v>
      </c>
      <c r="C198" t="s">
        <v>17</v>
      </c>
      <c r="D198">
        <f t="shared" ca="1" si="40"/>
        <v>22</v>
      </c>
      <c r="E198" t="s">
        <v>46</v>
      </c>
      <c r="F198" t="s">
        <v>25</v>
      </c>
      <c r="G198">
        <f t="shared" ca="1" si="45"/>
        <v>83</v>
      </c>
      <c r="H198">
        <f>550</f>
        <v>550</v>
      </c>
      <c r="I198">
        <f t="shared" ca="1" si="46"/>
        <v>458</v>
      </c>
      <c r="J198">
        <f t="shared" ca="1" si="41"/>
        <v>3.5</v>
      </c>
      <c r="K198" t="str">
        <f t="shared" ca="1" si="42"/>
        <v>Pass</v>
      </c>
      <c r="L198" t="str">
        <f t="shared" ca="1" si="47"/>
        <v>A</v>
      </c>
      <c r="M198">
        <f t="shared" si="43"/>
        <v>2026</v>
      </c>
      <c r="N198">
        <f t="shared" ca="1" si="44"/>
        <v>1</v>
      </c>
      <c r="O198">
        <v>1</v>
      </c>
    </row>
    <row r="199" spans="1:15" x14ac:dyDescent="0.35">
      <c r="A199" t="s">
        <v>354</v>
      </c>
      <c r="B199" t="s">
        <v>355</v>
      </c>
      <c r="C199" t="s">
        <v>12</v>
      </c>
      <c r="D199">
        <f t="shared" ca="1" si="40"/>
        <v>22</v>
      </c>
      <c r="E199" t="s">
        <v>46</v>
      </c>
      <c r="F199" t="s">
        <v>14</v>
      </c>
      <c r="G199">
        <f t="shared" ca="1" si="45"/>
        <v>69</v>
      </c>
      <c r="H199">
        <f>550</f>
        <v>550</v>
      </c>
      <c r="I199">
        <f t="shared" ca="1" si="46"/>
        <v>381</v>
      </c>
      <c r="J199">
        <f t="shared" ca="1" si="41"/>
        <v>3</v>
      </c>
      <c r="K199" t="str">
        <f t="shared" ca="1" si="42"/>
        <v>Pass</v>
      </c>
      <c r="L199" t="str">
        <f t="shared" ca="1" si="47"/>
        <v>C</v>
      </c>
      <c r="M199">
        <f t="shared" si="43"/>
        <v>2025</v>
      </c>
      <c r="N199">
        <f t="shared" ca="1" si="44"/>
        <v>4</v>
      </c>
      <c r="O199">
        <v>2</v>
      </c>
    </row>
    <row r="200" spans="1:15" x14ac:dyDescent="0.35">
      <c r="A200" t="s">
        <v>356</v>
      </c>
      <c r="B200" t="s">
        <v>123</v>
      </c>
      <c r="C200" t="s">
        <v>12</v>
      </c>
      <c r="D200">
        <f t="shared" ca="1" si="40"/>
        <v>24</v>
      </c>
      <c r="E200" t="s">
        <v>13</v>
      </c>
      <c r="F200" t="s">
        <v>14</v>
      </c>
      <c r="G200">
        <f t="shared" ca="1" si="45"/>
        <v>84</v>
      </c>
      <c r="H200">
        <f>550</f>
        <v>550</v>
      </c>
      <c r="I200">
        <f t="shared" ca="1" si="46"/>
        <v>461</v>
      </c>
      <c r="J200">
        <f t="shared" ca="1" si="41"/>
        <v>3.5</v>
      </c>
      <c r="K200" t="str">
        <f t="shared" ca="1" si="42"/>
        <v>Pass</v>
      </c>
      <c r="L200" t="str">
        <f t="shared" ca="1" si="47"/>
        <v>A</v>
      </c>
      <c r="M200">
        <f t="shared" si="43"/>
        <v>2024</v>
      </c>
      <c r="N200">
        <f t="shared" ca="1" si="44"/>
        <v>6</v>
      </c>
      <c r="O200">
        <v>3</v>
      </c>
    </row>
    <row r="201" spans="1:15" x14ac:dyDescent="0.35">
      <c r="A201" t="s">
        <v>357</v>
      </c>
      <c r="B201" t="s">
        <v>68</v>
      </c>
      <c r="C201" t="s">
        <v>12</v>
      </c>
      <c r="D201">
        <f t="shared" ca="1" si="40"/>
        <v>25</v>
      </c>
      <c r="E201" t="s">
        <v>40</v>
      </c>
      <c r="F201" t="s">
        <v>71</v>
      </c>
      <c r="G201">
        <f t="shared" si="45"/>
        <v>45</v>
      </c>
      <c r="H201">
        <f>550</f>
        <v>550</v>
      </c>
      <c r="I201">
        <v>245</v>
      </c>
      <c r="J201">
        <f t="shared" si="41"/>
        <v>1</v>
      </c>
      <c r="K201" t="str">
        <f t="shared" si="42"/>
        <v>Fail</v>
      </c>
      <c r="L201" t="str">
        <f t="shared" si="47"/>
        <v>F</v>
      </c>
      <c r="M201">
        <f t="shared" si="43"/>
        <v>2023</v>
      </c>
      <c r="N201">
        <f t="shared" ca="1" si="44"/>
        <v>7</v>
      </c>
      <c r="O201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Pakistani_University_Students_2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2026-06-06T05:38:05Z</dcterms:created>
  <dcterms:modified xsi:type="dcterms:W3CDTF">2026-06-09T09:55:14Z</dcterms:modified>
</cp:coreProperties>
</file>